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"/>
    </mc:Choice>
  </mc:AlternateContent>
  <xr:revisionPtr revIDLastSave="0" documentId="8_{74DDAD5E-2616-407A-9D46-C364C8E7E257}" xr6:coauthVersionLast="47" xr6:coauthVersionMax="47" xr10:uidLastSave="{00000000-0000-0000-0000-000000000000}"/>
  <bookViews>
    <workbookView xWindow="-28920" yWindow="-6555" windowWidth="29040" windowHeight="15720" tabRatio="633" activeTab="1" xr2:uid="{F3B4D49E-A158-483E-B954-D18468D3CB43}"/>
  </bookViews>
  <sheets>
    <sheet name="System View" sheetId="1" r:id="rId1"/>
    <sheet name="CFD" sheetId="2" r:id="rId2"/>
    <sheet name="EFD" sheetId="3" r:id="rId3"/>
    <sheet name="WFD" sheetId="4" r:id="rId4"/>
    <sheet name="MSD 1" sheetId="5" r:id="rId5"/>
    <sheet name="MSD 2" sheetId="6" r:id="rId6"/>
    <sheet name="Data Key and Legend" sheetId="7" r:id="rId7"/>
    <sheet name="Sheet1" sheetId="8" r:id="rId8"/>
  </sheets>
  <definedNames>
    <definedName name="_xlnm.Print_Area" localSheetId="1">CFD!$B$1:$X$36</definedName>
    <definedName name="_xlnm.Print_Area" localSheetId="2">EFD!$B$1:$V$38</definedName>
    <definedName name="_xlnm.Print_Area" localSheetId="4">'MSD 1'!$B$1:$AB$37</definedName>
    <definedName name="_xlnm.Print_Area" localSheetId="5">'MSD 2'!$B$1:$AF$37</definedName>
    <definedName name="_xlnm.Print_Area" localSheetId="0">'System View'!$B$1:$U$34</definedName>
    <definedName name="_xlnm.Print_Area" localSheetId="3">WFD!$B$1:$AH$38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4" l="1"/>
  <c r="J34" i="1"/>
  <c r="D36" i="3"/>
  <c r="S34" i="1"/>
  <c r="W34" i="2"/>
  <c r="U34" i="2"/>
  <c r="S34" i="2"/>
  <c r="Q34" i="2"/>
  <c r="O34" i="2"/>
  <c r="M34" i="2"/>
  <c r="K34" i="2"/>
  <c r="I34" i="2"/>
  <c r="G34" i="2"/>
  <c r="D34" i="2"/>
  <c r="D35" i="6"/>
  <c r="D35" i="5"/>
  <c r="D36" i="4"/>
  <c r="AE35" i="6"/>
  <c r="AC35" i="6"/>
  <c r="AA35" i="6"/>
  <c r="Y35" i="6"/>
  <c r="W35" i="6"/>
  <c r="U35" i="6"/>
  <c r="S35" i="6"/>
  <c r="Q35" i="6"/>
  <c r="O35" i="6"/>
  <c r="M35" i="6"/>
  <c r="K35" i="6"/>
  <c r="I35" i="6"/>
  <c r="G35" i="6"/>
  <c r="AA35" i="5"/>
  <c r="AC35" i="5"/>
  <c r="Y35" i="5"/>
  <c r="W35" i="5"/>
  <c r="U35" i="5"/>
  <c r="S35" i="5"/>
  <c r="Q35" i="5"/>
  <c r="O35" i="5"/>
  <c r="M35" i="5"/>
  <c r="K35" i="5"/>
  <c r="I35" i="5"/>
  <c r="G35" i="5"/>
  <c r="AG36" i="4"/>
  <c r="AE36" i="4"/>
  <c r="AC36" i="4"/>
  <c r="AA36" i="4"/>
  <c r="Y36" i="4"/>
  <c r="W36" i="4"/>
  <c r="U36" i="4"/>
  <c r="S36" i="4"/>
  <c r="Q36" i="4"/>
  <c r="M36" i="4"/>
  <c r="K36" i="4"/>
  <c r="I36" i="4"/>
  <c r="G36" i="4"/>
  <c r="U36" i="3"/>
  <c r="S36" i="3"/>
  <c r="Q36" i="3"/>
  <c r="O36" i="3"/>
  <c r="M36" i="3"/>
  <c r="K36" i="3"/>
  <c r="I36" i="3"/>
  <c r="G36" i="3"/>
  <c r="D28" i="2"/>
  <c r="D34" i="1"/>
  <c r="D26" i="4"/>
  <c r="D27" i="4"/>
  <c r="D30" i="4" l="1"/>
  <c r="D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tc={E25E3D19-E9B6-437D-B832-283D24B748F0}</author>
    <author>tc={63BB7814-18E9-4E0F-B39F-A45BF9B9DC1E}</author>
    <author>tc={12A77905-9018-47D7-8ACB-F85C0EE489E5}</author>
    <author>tc={28758B84-D71F-4B29-98A0-00D196B44CBF}</author>
    <author>tc={555F3307-6DA6-46E1-A42F-8D068AD04FA5}</author>
    <author>tc={7B2596C1-2AD7-4DA9-A47E-13446B5CFBAF}</author>
  </authors>
  <commentList>
    <comment ref="C10" authorId="0" shapeId="0" xr:uid="{E25E3D19-E9B6-437D-B832-283D24B748F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11" authorId="1" shapeId="0" xr:uid="{63BB7814-18E9-4E0F-B39F-A45BF9B9DC1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14" authorId="2" shapeId="0" xr:uid="{12A77905-9018-47D7-8ACB-F85C0EE489E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TMP DLC June placemat</t>
      </text>
    </comment>
    <comment ref="C17" authorId="3" shapeId="0" xr:uid="{28758B84-D71F-4B29-98A0-00D196B44CBF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Differs from 14.0 in TMP DLC June close placemat</t>
      </text>
    </comment>
    <comment ref="C30" authorId="4" shapeId="0" xr:uid="{555F3307-6DA6-46E1-A42F-8D068AD04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of truth states $941.8M</t>
      </text>
    </comment>
    <comment ref="C31" authorId="5" shapeId="0" xr:uid="{7B2596C1-2AD7-4DA9-A47E-13446B5CFB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value reflects June in this document versus may in datalink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tc={864C76EC-AEE6-495E-B820-D869C81A1A5D}</author>
    <author>tc={D6D0CC77-631F-4C2A-9B51-239D9AB9DE9E}</author>
    <author>tc={561543D7-2B1D-4FE9-BDB2-7A0EB9F6A820}</author>
    <author>tc={F5F4C07D-2A27-47D8-868F-17FEA0216798}</author>
    <author>tc={63CA6740-2CF5-454B-8282-C758DFBF39F5}</author>
    <author>tc={5F21E455-DC8A-4123-87F2-599FB3FD642D}</author>
  </authors>
  <commentList>
    <comment ref="C12" authorId="0" shapeId="0" xr:uid="{864C76EC-AEE6-495E-B820-D869C81A1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13" authorId="1" shapeId="0" xr:uid="{D6D0CC77-631F-4C2A-9B51-239D9AB9DE9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16" authorId="2" shapeId="0" xr:uid="{561543D7-2B1D-4FE9-BDB2-7A0EB9F6A8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Validate: source EFD MOR Scorecard</t>
      </text>
    </comment>
    <comment ref="C21" authorId="3" shapeId="0" xr:uid="{F5F4C07D-2A27-47D8-868F-17FEA021679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datalink</t>
      </text>
    </comment>
    <comment ref="C32" authorId="4" shapeId="0" xr:uid="{63CA6740-2CF5-454B-8282-C758DFBF39F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of truth states $302.4M</t>
      </text>
    </comment>
    <comment ref="C33" authorId="5" shapeId="0" xr:uid="{5F21E455-DC8A-4123-87F2-599FB3FD64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value reflects June in this document versus may in datalink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tc={E9D88EC9-F5FB-45B3-BED7-D47264EEB111}</author>
    <author>tc={4DC38E91-6466-44A2-8EA9-B3189C65A64E}</author>
    <author>tc={D7C5FD30-964F-4D2D-9773-E0AB1125852A}</author>
    <author>tc={83398759-EAAA-EB4B-B9CA-468464297317}</author>
    <author>tc={83006904-174F-4EB9-ABB2-A8F3B897FB73}</author>
    <author>tc={3013DC64-4CAF-4D4F-BA28-94D3CE7614E9}</author>
    <author>tc={5E3846F9-6DD2-4201-854E-C916F5A835E3}</author>
    <author>tc={61DD5346-9C13-45C9-9E07-2D97730AD1F6}</author>
    <author>tc={7F353A61-6ADC-4858-8438-A1F9B18933BF}</author>
    <author>tc={D76DA467-7CC5-406D-B2D9-E9A773AC8B4B}</author>
  </authors>
  <commentList>
    <comment ref="C12" authorId="0" shapeId="0" xr:uid="{E9D88EC9-F5FB-45B3-BED7-D47264EEB11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13" authorId="1" shapeId="0" xr:uid="{4DC38E91-6466-44A2-8EA9-B3189C65A64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21" authorId="2" shapeId="0" xr:uid="{D7C5FD30-964F-4D2D-9773-E0AB1125852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datalink</t>
      </text>
    </comment>
    <comment ref="D26" authorId="3" shapeId="0" xr:uid="{83398759-EAAA-EB4B-B9CA-468464297317}">
      <text>
        <t>[Threaded comment]
Your version of Excel allows you to read this threaded comment; however, any edits to it will get removed if the file is opened in a newer version of Excel. Learn more: https://go.microsoft.com/fwlink/?linkid=870924
Comment:
    PC is not included in the denominator due to acquisition 5-year run way to get to 4 or 5-star
Reply:
    Understood thank you</t>
      </text>
    </comment>
    <comment ref="C32" authorId="4" shapeId="0" xr:uid="{83006904-174F-4EB9-ABB2-A8F3B897FB7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datalink, very different from other divisions goals</t>
      </text>
    </comment>
    <comment ref="C33" authorId="5" shapeId="0" xr:uid="{3013DC64-4CAF-4D4F-BA28-94D3CE7614E9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value reflects June in this document versus may in datalink</t>
      </text>
    </comment>
    <comment ref="O35" authorId="6" shapeId="0" xr:uid="{5E3846F9-6DD2-4201-854E-C916F5A83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Past reports have this data but it is not available in MPR Dashboard</t>
      </text>
    </comment>
    <comment ref="Y35" authorId="7" shapeId="0" xr:uid="{61DD5346-9C13-45C9-9E07-2D97730AD1F6}">
      <text>
        <t>[Threaded comment]
Your version of Excel allows you to read this threaded comment; however, any edits to it will get removed if the file is opened in a newer version of Excel. Learn more: https://go.microsoft.com/fwlink/?linkid=870924
Comment:
    Past reports have this data but it is not available in MPR Dashboard</t>
      </text>
    </comment>
    <comment ref="AC35" authorId="8" shapeId="0" xr:uid="{7F353A61-6ADC-4858-8438-A1F9B18933B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Past reports have this data but it is not available in MPR Dashboard</t>
      </text>
    </comment>
    <comment ref="Q38" authorId="9" shapeId="0" xr:uid="{D76DA467-7CC5-406D-B2D9-E9A773AC8B4B}">
      <text>
        <t>[Threaded comment]
Your version of Excel allows you to read this threaded comment; however, any edits to it will get removed if the file is opened in a newer version of Excel. Learn more: https://go.microsoft.com/fwlink/?linkid=870924
Comment:
    Edit made from Vanessa Cepeda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tc={BFD9FB5B-2A74-46FC-B47E-A78690AB4E92}</author>
    <author>tc={FA66F7AC-2EFA-4FCF-8E50-2F4B2601CAB9}</author>
    <author>tc={4657EF0C-FA3C-4619-B3A7-15650996902E}</author>
  </authors>
  <commentList>
    <comment ref="C11" authorId="0" shapeId="0" xr:uid="{BFD9FB5B-2A74-46FC-B47E-A78690AB4E9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12" authorId="1" shapeId="0" xr:uid="{FA66F7AC-2EFA-4FCF-8E50-2F4B2601CAB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31" authorId="2" shapeId="0" xr:uid="{4657EF0C-FA3C-4619-B3A7-15650996902E}">
      <text>
        <t>[Threaded comment]
Your version of Excel allows you to read this threaded comment; however, any edits to it will get removed if the file is opened in a newer version of Excel. Learn more: https://go.microsoft.com/fwlink/?linkid=870924
Comment:
    EBITDA$ from Budget YTD May 2026 not goal
Reply:
    Source of truth states $284.7M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tc={C4F17CEA-15E0-4632-99A7-E2F3FF956D30}</author>
    <author>tc={FE10A2D1-ACA5-430E-959C-DC7FF3B17270}</author>
    <author>tc={287E8007-0023-4BAB-BE10-B7274F626E48}</author>
    <author>tc={B4FC5F4A-0BDC-40F3-A736-77A338DADEE4}</author>
    <author>tc={21EB4B48-AA8F-4CE6-8227-11B625D2BFDE}</author>
    <author>tc={73B3CFD8-C890-4A31-83F8-C9661662A13E}</author>
    <author>tc={812CF537-FD60-4478-8A8A-3F9D66474F74}</author>
  </authors>
  <commentList>
    <comment ref="C11" authorId="0" shapeId="0" xr:uid="{C4F17CEA-15E0-4632-99A7-E2F3FF956D3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12" authorId="1" shapeId="0" xr:uid="{FE10A2D1-ACA5-430E-959C-DC7FF3B1727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as datakey</t>
      </text>
    </comment>
    <comment ref="C31" authorId="2" shapeId="0" xr:uid="{287E8007-0023-4BAB-BE10-B7274F62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EBITDA$ from Budget YTD May 2026 not goal
Reply:
    Source of truth states $284.7M</t>
      </text>
    </comment>
    <comment ref="C32" authorId="3" shapeId="0" xr:uid="{B4FC5F4A-0BDC-40F3-A736-77A338DADEE4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datalink</t>
      </text>
    </comment>
    <comment ref="Q34" authorId="4" shapeId="0" xr:uid="{21EB4B48-AA8F-4CE6-8227-11B625D2BFDE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attributed to AHMG Great Lakes from dashboard, is this correct?</t>
      </text>
    </comment>
    <comment ref="Y37" authorId="5" shapeId="0" xr:uid="{73B3CFD8-C890-4A31-83F8-C9661662A13E}">
      <text>
        <t>[Threaded comment]
Your version of Excel allows you to read this threaded comment; however, any edits to it will get removed if the file is opened in a newer version of Excel. Learn more: https://go.microsoft.com/fwlink/?linkid=870924
Comment:
    Edits made from Vanessa Cepeda</t>
      </text>
    </comment>
    <comment ref="AA37" authorId="6" shapeId="0" xr:uid="{812CF537-FD60-4478-8A8A-3F9D66474F74}">
      <text>
        <t>[Threaded comment]
Your version of Excel allows you to read this threaded comment; however, any edits to it will get removed if the file is opened in a newer version of Excel. Learn more: https://go.microsoft.com/fwlink/?linkid=870924
Comment:
    Edits made from Vanessa Cepeda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tc={81033B7E-5195-4E2B-91D0-3A8A682F73B2}</author>
    <author>tc={695734B7-76B5-48FC-A42C-F59809D490AB}</author>
  </authors>
  <commentList>
    <comment ref="E58" authorId="0" shapeId="0" xr:uid="{81033B7E-5195-4E2B-91D0-3A8A682F73B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as of June 2026</t>
      </text>
    </comment>
    <comment ref="E62" authorId="1" shapeId="0" xr:uid="{695734B7-76B5-48FC-A42C-F59809D490A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as of May 2026</t>
      </text>
    </comment>
  </commentList>
</comments>
</file>

<file path=xl/sharedStrings.xml><?xml version="1.0" encoding="utf-8"?>
<sst xmlns="http://schemas.openxmlformats.org/spreadsheetml/2006/main" count="985" uniqueCount="447">
  <si>
    <t>Vision 2030</t>
  </si>
  <si>
    <t>JUNE 2026 PERFORMANCE DATA</t>
  </si>
  <si>
    <t>Metric</t>
  </si>
  <si>
    <t>System Goal</t>
  </si>
  <si>
    <t>AH System</t>
  </si>
  <si>
    <t>Central Florida Division</t>
  </si>
  <si>
    <t>East Florida Division</t>
  </si>
  <si>
    <t>West Florida Division</t>
  </si>
  <si>
    <t>Multi-State Division</t>
  </si>
  <si>
    <t>Primary Health Division</t>
  </si>
  <si>
    <t>Whole-Person Care</t>
  </si>
  <si>
    <t>AdventHealth will treat consumers in body, mind and spirit and our communities will experience wholeness.</t>
  </si>
  <si>
    <t>Mission Integration Plan TBD</t>
  </si>
  <si>
    <t>Community TBD</t>
  </si>
  <si>
    <t>Dynamic Learning Community</t>
  </si>
  <si>
    <t>AdventHealth will be a Dynamic Learning Community known for a culture of continuous learning and innovation that develops talent to elevate organizational performance and advance our mission.</t>
  </si>
  <si>
    <t>Internal Leader Fill Rate</t>
  </si>
  <si>
    <t>≥ 73%</t>
  </si>
  <si>
    <t>Leader Effectiveness (Facility Leadership)</t>
  </si>
  <si>
    <t>≥ 81</t>
  </si>
  <si>
    <t>Opportunity to Learn and Grow</t>
  </si>
  <si>
    <t>≥ 79</t>
  </si>
  <si>
    <t>Team Member Promise</t>
  </si>
  <si>
    <t>AdventHealth will be known as a place where team members thrive professionally and experience a sense of wholeness.</t>
  </si>
  <si>
    <t>Forecast and Hire</t>
  </si>
  <si>
    <t>At or above forecast</t>
  </si>
  <si>
    <t>12,176 / 12,479</t>
  </si>
  <si>
    <t>3,538 / 3,427</t>
  </si>
  <si>
    <t>1,596 / 1,497</t>
  </si>
  <si>
    <t>2,333 / 2,346</t>
  </si>
  <si>
    <t>3,599 / 3,856</t>
  </si>
  <si>
    <t>620 / 669</t>
  </si>
  <si>
    <t>Team Member Engagement</t>
  </si>
  <si>
    <t>≥81</t>
  </si>
  <si>
    <t>Physician Engagement</t>
  </si>
  <si>
    <t xml:space="preserve"> ≥ 75th Percentile Rank</t>
  </si>
  <si>
    <r>
      <t>66</t>
    </r>
    <r>
      <rPr>
        <vertAlign val="superscript"/>
        <sz val="10"/>
        <color rgb="FF215C98"/>
        <rFont val="Proxima Nova Semibold"/>
        <family val="2"/>
      </rPr>
      <t>th</t>
    </r>
  </si>
  <si>
    <r>
      <t>70</t>
    </r>
    <r>
      <rPr>
        <vertAlign val="superscript"/>
        <sz val="10"/>
        <color rgb="FF005B96"/>
        <rFont val="Proxima Nova Semibold"/>
        <family val="2"/>
      </rPr>
      <t>th</t>
    </r>
    <r>
      <rPr>
        <sz val="10"/>
        <color rgb="FF005B96"/>
        <rFont val="Proxima Nova Semibold"/>
        <family val="2"/>
      </rPr>
      <t xml:space="preserve">   </t>
    </r>
  </si>
  <si>
    <r>
      <t>72</t>
    </r>
    <r>
      <rPr>
        <vertAlign val="superscript"/>
        <sz val="10"/>
        <color rgb="FF215C98"/>
        <rFont val="Proxima Nova Semibold"/>
        <family val="2"/>
      </rPr>
      <t>nd</t>
    </r>
    <r>
      <rPr>
        <sz val="10"/>
        <color rgb="FF215C98"/>
        <rFont val="Proxima Nova Semibold"/>
        <family val="2"/>
      </rPr>
      <t xml:space="preserve"> </t>
    </r>
  </si>
  <si>
    <r>
      <t>68</t>
    </r>
    <r>
      <rPr>
        <vertAlign val="superscript"/>
        <sz val="10"/>
        <color rgb="FF215C98"/>
        <rFont val="Proxima Nova Semibold"/>
        <family val="2"/>
      </rPr>
      <t>th</t>
    </r>
  </si>
  <si>
    <r>
      <t>60</t>
    </r>
    <r>
      <rPr>
        <vertAlign val="superscript"/>
        <sz val="10"/>
        <color rgb="FF215C98"/>
        <rFont val="Proxima Nova Semibold"/>
        <family val="2"/>
      </rPr>
      <t>th</t>
    </r>
    <r>
      <rPr>
        <sz val="10"/>
        <color rgb="FF215C98"/>
        <rFont val="Proxima Nova Semibold"/>
        <family val="2"/>
      </rPr>
      <t xml:space="preserve"> </t>
    </r>
  </si>
  <si>
    <t>-</t>
  </si>
  <si>
    <t>Total Turnover</t>
  </si>
  <si>
    <t>At or above goal</t>
  </si>
  <si>
    <t>Consumer Focused Connected Network</t>
  </si>
  <si>
    <t>AdventHealth will win the consumer because we are easy to access, simple to use and help them feel whole.</t>
  </si>
  <si>
    <t>Digital Tool Utilization</t>
  </si>
  <si>
    <t xml:space="preserve"> ≥3.60M</t>
  </si>
  <si>
    <t>3.24M</t>
  </si>
  <si>
    <t>0.77M</t>
  </si>
  <si>
    <t>0.29M</t>
  </si>
  <si>
    <t>0.5M</t>
  </si>
  <si>
    <t>1.1 M</t>
  </si>
  <si>
    <t>0.44M</t>
  </si>
  <si>
    <t>Patient Experience – Inpatient LTR</t>
  </si>
  <si>
    <t xml:space="preserve">Patient Experience – ED LTR </t>
  </si>
  <si>
    <t xml:space="preserve">Patient Experience – Med Practice LTR </t>
  </si>
  <si>
    <t>Clinical Excellence</t>
  </si>
  <si>
    <t>AdventHealth will deliver preeminent, whole-person, clinical care with uncommon compassion as we lead in quality and safety.</t>
  </si>
  <si>
    <t>CMS Overall Hospital Star Rating</t>
  </si>
  <si>
    <t>100; 4 or 5-Star</t>
  </si>
  <si>
    <t>Leapfrog Hospital Safety Grade</t>
  </si>
  <si>
    <t>100; Grade A</t>
  </si>
  <si>
    <t>All-Adult Inpatient Mortality</t>
  </si>
  <si>
    <t>100%; Top Quartile</t>
  </si>
  <si>
    <t>Average Length of Stay</t>
  </si>
  <si>
    <t>100% facilities at or above facility goal</t>
  </si>
  <si>
    <t>Length of Stay O/E</t>
  </si>
  <si>
    <t>Financial Strength &amp; Growth</t>
  </si>
  <si>
    <t>AdventHealth will extend the healing ministry of Christ through active stewardship of our resources to provide exceptional, affordable care to our consumers.</t>
  </si>
  <si>
    <t>EBITDA $</t>
  </si>
  <si>
    <t>$1.6B</t>
  </si>
  <si>
    <t>$2.0B</t>
  </si>
  <si>
    <t>$1,018.8M</t>
  </si>
  <si>
    <t>$321.1M</t>
  </si>
  <si>
    <t>327.5M</t>
  </si>
  <si>
    <t>$274.8M</t>
  </si>
  <si>
    <t>$(45.7M)</t>
  </si>
  <si>
    <t>TOR Growth Rate</t>
  </si>
  <si>
    <t>(-0.7%)</t>
  </si>
  <si>
    <t>Managed Population Risk</t>
  </si>
  <si>
    <t>AdventHealth will curate high-performing networks to engage consumers along the full care continuum and drive success in value-based programs</t>
  </si>
  <si>
    <t xml:space="preserve">Domestic Spend </t>
  </si>
  <si>
    <t>≥ 5% increase</t>
  </si>
  <si>
    <t>Vision 2030 Aspiration Achievement</t>
  </si>
  <si>
    <t>Division Goal</t>
  </si>
  <si>
    <t>Division</t>
  </si>
  <si>
    <t>Trend</t>
  </si>
  <si>
    <t>Altamonte Springs</t>
  </si>
  <si>
    <t>Apopka</t>
  </si>
  <si>
    <t>Celebration</t>
  </si>
  <si>
    <t>East Orlando</t>
  </si>
  <si>
    <t>Kissimmee</t>
  </si>
  <si>
    <t>Minneola</t>
  </si>
  <si>
    <t>Orlando</t>
  </si>
  <si>
    <t>Winter Garden</t>
  </si>
  <si>
    <t>Winter Park</t>
  </si>
  <si>
    <r>
      <rPr>
        <sz val="10"/>
        <color rgb="FF215C98"/>
        <rFont val="Aptos Narrow"/>
        <family val="2"/>
      </rPr>
      <t>≥</t>
    </r>
    <r>
      <rPr>
        <sz val="10"/>
        <color rgb="FF215C98"/>
        <rFont val="Proxima Nova Semibold"/>
        <family val="2"/>
      </rPr>
      <t>73%</t>
    </r>
  </si>
  <si>
    <t>≥79</t>
  </si>
  <si>
    <t>223 / 238</t>
  </si>
  <si>
    <t>92 / 72</t>
  </si>
  <si>
    <t>236 / 299</t>
  </si>
  <si>
    <t>195 / 209</t>
  </si>
  <si>
    <t>176 / 127</t>
  </si>
  <si>
    <t>93 / 63</t>
  </si>
  <si>
    <t>1,008 / 798</t>
  </si>
  <si>
    <t>83 / 116</t>
  </si>
  <si>
    <t>187 / 204</t>
  </si>
  <si>
    <r>
      <rPr>
        <sz val="10"/>
        <color rgb="FF215C98"/>
        <rFont val="Aptos Narrow"/>
        <family val="2"/>
      </rPr>
      <t>≥</t>
    </r>
    <r>
      <rPr>
        <sz val="10"/>
        <color rgb="FF215C98"/>
        <rFont val="Proxima Nova Semibold"/>
        <family val="2"/>
      </rPr>
      <t>75%ile</t>
    </r>
  </si>
  <si>
    <t xml:space="preserve">70th </t>
  </si>
  <si>
    <t>76th</t>
  </si>
  <si>
    <t>73rd</t>
  </si>
  <si>
    <t>72nd</t>
  </si>
  <si>
    <t xml:space="preserve"> - </t>
  </si>
  <si>
    <t>57th</t>
  </si>
  <si>
    <t>90th</t>
  </si>
  <si>
    <t>78th</t>
  </si>
  <si>
    <r>
      <rPr>
        <sz val="10"/>
        <color rgb="FF215C98"/>
        <rFont val="Aptos Narrow"/>
        <family val="2"/>
      </rPr>
      <t>≤</t>
    </r>
    <r>
      <rPr>
        <sz val="10"/>
        <color rgb="FF215C98"/>
        <rFont val="Proxima Nova Semibold"/>
        <family val="2"/>
      </rPr>
      <t>15.6%</t>
    </r>
  </si>
  <si>
    <r>
      <rPr>
        <sz val="10"/>
        <color rgb="FF215C98"/>
        <rFont val="Aptos Narrow"/>
        <family val="2"/>
      </rPr>
      <t>≥</t>
    </r>
    <r>
      <rPr>
        <sz val="10"/>
        <color rgb="FF215C98"/>
        <rFont val="Proxima Nova Semibold"/>
        <family val="2"/>
      </rPr>
      <t>883.58K</t>
    </r>
  </si>
  <si>
    <t>4 or 5</t>
  </si>
  <si>
    <t>N/A</t>
  </si>
  <si>
    <t>A</t>
  </si>
  <si>
    <t>Facility CEO</t>
  </si>
  <si>
    <t>JEFFEREY VILLANUEVA</t>
  </si>
  <si>
    <t>BRAD HILLMON</t>
  </si>
  <si>
    <t>MICHAEL MEWHIRTER</t>
  </si>
  <si>
    <t>CAITLIN LEWIS</t>
  </si>
  <si>
    <t>CRAIG MOORE</t>
  </si>
  <si>
    <t>KAY BARNETT</t>
  </si>
  <si>
    <t>ABEL BIRI</t>
  </si>
  <si>
    <t>AIMEE KELLER-PICKFORD</t>
  </si>
  <si>
    <t>SHEILA RANKIN</t>
  </si>
  <si>
    <t>Position Start Date</t>
  </si>
  <si>
    <t>Daytona Beach</t>
  </si>
  <si>
    <t>DeLand</t>
  </si>
  <si>
    <t>Fish Memorial</t>
  </si>
  <si>
    <t>New Smyrna Beach</t>
  </si>
  <si>
    <t>Ocala</t>
  </si>
  <si>
    <t>Palm Coast</t>
  </si>
  <si>
    <t>Palm Coast Parkway</t>
  </si>
  <si>
    <t>Waterman</t>
  </si>
  <si>
    <t>459 / 328</t>
  </si>
  <si>
    <t>118 / 112</t>
  </si>
  <si>
    <t>134 / 124</t>
  </si>
  <si>
    <t>110 / 114</t>
  </si>
  <si>
    <t>311 / 309</t>
  </si>
  <si>
    <t>107 / 104</t>
  </si>
  <si>
    <t>80 / 73</t>
  </si>
  <si>
    <t>219 / 249</t>
  </si>
  <si>
    <t>68th</t>
  </si>
  <si>
    <t>79th</t>
  </si>
  <si>
    <t>66th</t>
  </si>
  <si>
    <t>61st</t>
  </si>
  <si>
    <t>69th</t>
  </si>
  <si>
    <t>84th</t>
  </si>
  <si>
    <r>
      <rPr>
        <sz val="10"/>
        <color rgb="FF215C98"/>
        <rFont val="Aptos Narrow"/>
        <family val="2"/>
      </rPr>
      <t>≥</t>
    </r>
    <r>
      <rPr>
        <sz val="10"/>
        <color rgb="FF215C98"/>
        <rFont val="Proxima Nova Semibold"/>
      </rPr>
      <t>312.74K</t>
    </r>
  </si>
  <si>
    <t>$72.4M</t>
  </si>
  <si>
    <t>$33.3M</t>
  </si>
  <si>
    <t>$38.5M</t>
  </si>
  <si>
    <t>$18.0M</t>
  </si>
  <si>
    <t>$70.3M</t>
  </si>
  <si>
    <t>$32.4M</t>
  </si>
  <si>
    <t>$12.1M</t>
  </si>
  <si>
    <t>$43.4M</t>
  </si>
  <si>
    <t>DAVID SINCLAIR</t>
  </si>
  <si>
    <t>KHELSEA BAUER</t>
  </si>
  <si>
    <t>ERIC LUNDE</t>
  </si>
  <si>
    <t>DENNIS HERNANDEZ</t>
  </si>
  <si>
    <t>ERIKA SKULA</t>
  </si>
  <si>
    <t>DENYSE BALES-CHUBB</t>
  </si>
  <si>
    <t>WALMIR DE AQUINO</t>
  </si>
  <si>
    <t>BRANDON NUDD</t>
  </si>
  <si>
    <t>Carrollwood</t>
  </si>
  <si>
    <t>Connerton</t>
  </si>
  <si>
    <t>Dade City</t>
  </si>
  <si>
    <t>Heart of Florida</t>
  </si>
  <si>
    <r>
      <t xml:space="preserve">Lake Placid </t>
    </r>
    <r>
      <rPr>
        <sz val="8.5"/>
        <color rgb="FFFEFFFF"/>
        <rFont val="Proxima Nova Semibold"/>
      </rPr>
      <t>(*under Sebring)</t>
    </r>
  </si>
  <si>
    <t>Lake Wales</t>
  </si>
  <si>
    <t>North Pinellas</t>
  </si>
  <si>
    <t>Port Charlotte</t>
  </si>
  <si>
    <t>Riverview</t>
  </si>
  <si>
    <r>
      <t>Sebring</t>
    </r>
    <r>
      <rPr>
        <sz val="8"/>
        <color rgb="FFFEFFFF"/>
        <rFont val="Proxima Nova Semibold"/>
      </rPr>
      <t xml:space="preserve"> </t>
    </r>
  </si>
  <si>
    <t>Tampa</t>
  </si>
  <si>
    <t>Wauchula</t>
  </si>
  <si>
    <t>Wesley Chapel</t>
  </si>
  <si>
    <t>Zephyrhills</t>
  </si>
  <si>
    <t>74%*</t>
  </si>
  <si>
    <t xml:space="preserve"> </t>
  </si>
  <si>
    <t> </t>
  </si>
  <si>
    <t>85.50*</t>
  </si>
  <si>
    <t>80*</t>
  </si>
  <si>
    <t>111 / 140</t>
  </si>
  <si>
    <t>51 / 49</t>
  </si>
  <si>
    <t>46 / 38</t>
  </si>
  <si>
    <t>220 / 147</t>
  </si>
  <si>
    <t>267 / 205*</t>
  </si>
  <si>
    <t>45 / 32</t>
  </si>
  <si>
    <t>106 / 88</t>
  </si>
  <si>
    <t>176 / 183</t>
  </si>
  <si>
    <t>201 / 99</t>
  </si>
  <si>
    <t>267 / 205</t>
  </si>
  <si>
    <t>652 / 695</t>
  </si>
  <si>
    <t>18 / 17</t>
  </si>
  <si>
    <t>169 / 217</t>
  </si>
  <si>
    <t>117 / 169</t>
  </si>
  <si>
    <t>78*</t>
  </si>
  <si>
    <r>
      <t>68</t>
    </r>
    <r>
      <rPr>
        <vertAlign val="superscript"/>
        <sz val="10"/>
        <color rgb="FF215C98"/>
        <rFont val="Proxima Nova Semibold"/>
        <family val="2"/>
      </rPr>
      <t>th</t>
    </r>
    <r>
      <rPr>
        <sz val="10"/>
        <color rgb="FF215C98"/>
        <rFont val="Proxima Nova Semibold"/>
        <family val="2"/>
      </rPr>
      <t xml:space="preserve"> </t>
    </r>
  </si>
  <si>
    <t>80th</t>
  </si>
  <si>
    <t>19th</t>
  </si>
  <si>
    <t>83rd</t>
  </si>
  <si>
    <t>45th</t>
  </si>
  <si>
    <t>52nd</t>
  </si>
  <si>
    <t>87th</t>
  </si>
  <si>
    <r>
      <rPr>
        <sz val="10"/>
        <color rgb="FF215C98"/>
        <rFont val="Aptos Narrow"/>
        <family val="2"/>
      </rPr>
      <t>≤</t>
    </r>
    <r>
      <rPr>
        <sz val="10"/>
        <color rgb="FF215C98"/>
        <rFont val="Proxima Nova Semibold"/>
        <family val="2"/>
      </rPr>
      <t>18.5%</t>
    </r>
  </si>
  <si>
    <t>17.6%*</t>
  </si>
  <si>
    <t>547.74K</t>
  </si>
  <si>
    <t>0.34M</t>
  </si>
  <si>
    <t>57.11K</t>
  </si>
  <si>
    <t>55.04K</t>
  </si>
  <si>
    <t>$312.2M</t>
  </si>
  <si>
    <t>$28.8M</t>
  </si>
  <si>
    <t>$(1.5M)</t>
  </si>
  <si>
    <t>$5.7M</t>
  </si>
  <si>
    <t>$50.6M</t>
  </si>
  <si>
    <t>$9.2M</t>
  </si>
  <si>
    <t>$7.3M</t>
  </si>
  <si>
    <t>$4.2M</t>
  </si>
  <si>
    <t>$19.5M</t>
  </si>
  <si>
    <t>$35.8M</t>
  </si>
  <si>
    <t>$87.2M</t>
  </si>
  <si>
    <t>$4.5M</t>
  </si>
  <si>
    <t>$63.0M</t>
  </si>
  <si>
    <t>$23.2M</t>
  </si>
  <si>
    <t>JOEL JOHNSON</t>
  </si>
  <si>
    <t>MICHAEL MURRILL</t>
  </si>
  <si>
    <t>SHANE BEDWARD</t>
  </si>
  <si>
    <t>JASON DUNKEL</t>
  </si>
  <si>
    <t>ANDREW SANTOS</t>
  </si>
  <si>
    <t>ADAM JOHNSON</t>
  </si>
  <si>
    <t>JASON NEWMYER</t>
  </si>
  <si>
    <t>ERIK WANGSNESS</t>
  </si>
  <si>
    <t>RYAN QUATTLEBAUM</t>
  </si>
  <si>
    <t>Sourced from "WFD Reports" unless specified. DLC and TMP sourced from TMP DLC June Close placemat</t>
  </si>
  <si>
    <t>Rocky Mountain Region</t>
  </si>
  <si>
    <t>Southeast Region</t>
  </si>
  <si>
    <t>Avista</t>
  </si>
  <si>
    <t>Castle Rock</t>
  </si>
  <si>
    <t>Littleton</t>
  </si>
  <si>
    <t>Parker</t>
  </si>
  <si>
    <t>Porter</t>
  </si>
  <si>
    <t>Gordon</t>
  </si>
  <si>
    <t>Hendersonville</t>
  </si>
  <si>
    <t>Manchester</t>
  </si>
  <si>
    <t>Murray</t>
  </si>
  <si>
    <t>Polk</t>
  </si>
  <si>
    <t>Redmond</t>
  </si>
  <si>
    <t>131 / 104</t>
  </si>
  <si>
    <t>161 / 102</t>
  </si>
  <si>
    <t>250 / 190</t>
  </si>
  <si>
    <t>240 / 171</t>
  </si>
  <si>
    <t>413 / 261</t>
  </si>
  <si>
    <t>95 / 103</t>
  </si>
  <si>
    <t>189 / 256</t>
  </si>
  <si>
    <t>43 / 71</t>
  </si>
  <si>
    <t>22 / 16</t>
  </si>
  <si>
    <t>32 / 24</t>
  </si>
  <si>
    <t>153 / 180</t>
  </si>
  <si>
    <t>59th</t>
  </si>
  <si>
    <t>67th</t>
  </si>
  <si>
    <t>56th</t>
  </si>
  <si>
    <t>64th</t>
  </si>
  <si>
    <t>70th</t>
  </si>
  <si>
    <t>95th</t>
  </si>
  <si>
    <r>
      <rPr>
        <sz val="10"/>
        <color rgb="FF215C98"/>
        <rFont val="Aptos Narrow"/>
        <family val="2"/>
      </rPr>
      <t>≤</t>
    </r>
    <r>
      <rPr>
        <sz val="10"/>
        <color rgb="FF215C98"/>
        <rFont val="Proxima Nova Semibold"/>
        <family val="2"/>
      </rPr>
      <t>18.7%</t>
    </r>
  </si>
  <si>
    <t>1.29M</t>
  </si>
  <si>
    <t>0.35M</t>
  </si>
  <si>
    <t>100K</t>
  </si>
  <si>
    <t>102K</t>
  </si>
  <si>
    <t>14.36K</t>
  </si>
  <si>
    <t>$284.7M</t>
  </si>
  <si>
    <t>$11.4M</t>
  </si>
  <si>
    <t>$17.4M</t>
  </si>
  <si>
    <t>$21.7M</t>
  </si>
  <si>
    <t>$38.2M</t>
  </si>
  <si>
    <t>($5.1M)</t>
  </si>
  <si>
    <t>$11.7M</t>
  </si>
  <si>
    <t>$27.4M</t>
  </si>
  <si>
    <t>$7.0M</t>
  </si>
  <si>
    <t>$5.9M</t>
  </si>
  <si>
    <t>$1.5M</t>
  </si>
  <si>
    <t>$(1.2M)</t>
  </si>
  <si>
    <t>LIEF SORENSEN</t>
  </si>
  <si>
    <t>MICHELLE FUENTES</t>
  </si>
  <si>
    <t>MARK SMITH</t>
  </si>
  <si>
    <t>MICHAEL GOEBEL</t>
  </si>
  <si>
    <t>TODD FOLKENBERG</t>
  </si>
  <si>
    <t>JUSTIN BIRMELE</t>
  </si>
  <si>
    <t>DANIEL TRYON</t>
  </si>
  <si>
    <t>NICK BEJARANO</t>
  </si>
  <si>
    <t>ISAAC SENDROS</t>
  </si>
  <si>
    <t>Mid-America Region</t>
  </si>
  <si>
    <t>Great Lakes Region</t>
  </si>
  <si>
    <t>Southwest Region</t>
  </si>
  <si>
    <t>Durand</t>
  </si>
  <si>
    <t>Lenexa City Center</t>
  </si>
  <si>
    <t>Ottawa</t>
  </si>
  <si>
    <t>Shawnee Mission</t>
  </si>
  <si>
    <t>South Overland Park</t>
  </si>
  <si>
    <t>UCM AH Bolingbrook</t>
  </si>
  <si>
    <t>UCM AH Glen Oaks</t>
  </si>
  <si>
    <t>UCM AH Hinsdale</t>
  </si>
  <si>
    <t>UCM AH 
La Grange</t>
  </si>
  <si>
    <t>Central Texas</t>
  </si>
  <si>
    <t>Rollins Brook</t>
  </si>
  <si>
    <t>TH Huguley</t>
  </si>
  <si>
    <t>TH Mansfield</t>
  </si>
  <si>
    <t>9 / 5</t>
  </si>
  <si>
    <t>15 / 78</t>
  </si>
  <si>
    <t>40 / 34</t>
  </si>
  <si>
    <t>547 / 713</t>
  </si>
  <si>
    <t>89 / 72</t>
  </si>
  <si>
    <t>129 / 133</t>
  </si>
  <si>
    <t>92 / 76</t>
  </si>
  <si>
    <t>194 / 246</t>
  </si>
  <si>
    <t>112 / 109</t>
  </si>
  <si>
    <t>125 / 196</t>
  </si>
  <si>
    <t>13 / 15</t>
  </si>
  <si>
    <t>7 / 337</t>
  </si>
  <si>
    <t>59 / 104</t>
  </si>
  <si>
    <t>86th</t>
  </si>
  <si>
    <t>48th</t>
  </si>
  <si>
    <t>34th</t>
  </si>
  <si>
    <t>49th</t>
  </si>
  <si>
    <t>22nd</t>
  </si>
  <si>
    <t>41st</t>
  </si>
  <si>
    <t>54th</t>
  </si>
  <si>
    <t>51st</t>
  </si>
  <si>
    <t>2.5K</t>
  </si>
  <si>
    <t>0.22M</t>
  </si>
  <si>
    <t>0.20M</t>
  </si>
  <si>
    <t>57.28K</t>
  </si>
  <si>
    <t>90.75K</t>
  </si>
  <si>
    <t>$1.6M</t>
  </si>
  <si>
    <t>$3.6M</t>
  </si>
  <si>
    <t>$49.4M</t>
  </si>
  <si>
    <t>$6.2M</t>
  </si>
  <si>
    <t>$10.2M</t>
  </si>
  <si>
    <t>$6.0M</t>
  </si>
  <si>
    <t>($2.2M)</t>
  </si>
  <si>
    <t>($3.5M)</t>
  </si>
  <si>
    <t>$0.4M</t>
  </si>
  <si>
    <t>$48.5M</t>
  </si>
  <si>
    <t>DOUGLAS PETERSON</t>
  </si>
  <si>
    <t>SISSEL JACOB</t>
  </si>
  <si>
    <t>BRENDAN JOHNSON</t>
  </si>
  <si>
    <t>ALAN VERRILL</t>
  </si>
  <si>
    <t>DALLAS PURKEYPILE</t>
  </si>
  <si>
    <t>EUNMEE SHIN</t>
  </si>
  <si>
    <t>SALEEM CHOUDHURY</t>
  </si>
  <si>
    <t>ELISE MACCARROLL-WRIGHT</t>
  </si>
  <si>
    <t>DAVE TKACHUCK</t>
  </si>
  <si>
    <t>JENNIFER SWENSON</t>
  </si>
  <si>
    <t>PENNY JOHNSON</t>
  </si>
  <si>
    <t>EULANIE LASHLEY</t>
  </si>
  <si>
    <t>Confirm if any of these are MTD or YTD?</t>
  </si>
  <si>
    <t>Proximity to Goal</t>
  </si>
  <si>
    <t>Data as of</t>
  </si>
  <si>
    <t>Trended Period</t>
  </si>
  <si>
    <t xml:space="preserve">   Internal Leader Fill Rate</t>
  </si>
  <si>
    <t>June 2026</t>
  </si>
  <si>
    <t xml:space="preserve">YTD 2026 data vs. 2025. Data from Workday </t>
  </si>
  <si>
    <t>70-72%</t>
  </si>
  <si>
    <t>&lt; 70%</t>
  </si>
  <si>
    <t xml:space="preserve">   Leader Effectiveness</t>
  </si>
  <si>
    <t>March 2026 MTD</t>
  </si>
  <si>
    <t>October 2025 survey vs. March 2026 survey. Data directly from Glint</t>
  </si>
  <si>
    <t>80-69</t>
  </si>
  <si>
    <t>&lt; 69</t>
  </si>
  <si>
    <t xml:space="preserve">   Opportunity to Learn &amp; Grow</t>
  </si>
  <si>
    <t>76-78</t>
  </si>
  <si>
    <t>&lt; 76</t>
  </si>
  <si>
    <t>At or above forecast up to 3% above target</t>
  </si>
  <si>
    <t>Data is reflective of YTD hiring for all roles</t>
  </si>
  <si>
    <t>Less than target within 3% of target</t>
  </si>
  <si>
    <t>Forecast higher than actual hires</t>
  </si>
  <si>
    <t>Team Member Engagement (eSat + Recommend)</t>
  </si>
  <si>
    <t>78-80</t>
  </si>
  <si>
    <t>≤ 77</t>
  </si>
  <si>
    <t>No curent trending, data represents the hospital's ranking in the 2024 survey</t>
  </si>
  <si>
    <t>50th - 74th %tile</t>
  </si>
  <si>
    <t>&lt;50th %tile</t>
  </si>
  <si>
    <t>Total Turnover (Rolling 12)</t>
  </si>
  <si>
    <t>June 2026 MTD</t>
  </si>
  <si>
    <t>June 2026 vs. April 2026 Workday Turnover Trending Report</t>
  </si>
  <si>
    <t>Below goal</t>
  </si>
  <si>
    <t>Update legend and confirm which data has been changed to MTD</t>
  </si>
  <si>
    <t>JUNE
MTD 2026</t>
  </si>
  <si>
    <t>MTD JUNE 2026 (rolling 12months) compared to MTD May 2026 (rolling 12months); 
Data provided by the Consumer Analytics team</t>
  </si>
  <si>
    <t>3.59M - 3.00M</t>
  </si>
  <si>
    <t>&lt;3.00M</t>
  </si>
  <si>
    <t>MTD JUNE 2026 compared to MTD May 2026; 
Data provided by the Consumer Analytics team</t>
  </si>
  <si>
    <t>65th - 74.9th %tile</t>
  </si>
  <si>
    <t>&lt;65th %tile</t>
  </si>
  <si>
    <t>Patient Experience – ED LTR</t>
  </si>
  <si>
    <t xml:space="preserve">CMS Overall Hospital Star Rating </t>
  </si>
  <si>
    <t>Spring 2026</t>
  </si>
  <si>
    <t>Previous Score vs. Most Recent Score Available. 
Data provided by the Clinical analytics team</t>
  </si>
  <si>
    <t>75-99</t>
  </si>
  <si>
    <t xml:space="preserve">74-0; 3, 2 or 1-Star </t>
  </si>
  <si>
    <t xml:space="preserve">Leapfrog Hospital Safety Grade </t>
  </si>
  <si>
    <t>74-0; B or Below</t>
  </si>
  <si>
    <t xml:space="preserve">Premier All-Adult Inpatient Mortality </t>
  </si>
  <si>
    <t>100; Top Quartile</t>
  </si>
  <si>
    <t>Jun '25 - May '26</t>
  </si>
  <si>
    <t>Previous Score vs. Most Recent Score Available
Data provided by the Clinical analytics team</t>
  </si>
  <si>
    <t>75-99; Median</t>
  </si>
  <si>
    <t>74-0; Below Median</t>
  </si>
  <si>
    <t>Oct ' 25 - June '26</t>
  </si>
  <si>
    <t>Oct ' 25 - May '26</t>
  </si>
  <si>
    <t xml:space="preserve">Proximity to Goal </t>
  </si>
  <si>
    <t>EBITDA Dollars</t>
  </si>
  <si>
    <t>June 2026 YTD Actual vs. June 2026 YTD Budget
Data pulled from the monthly MTD_YTD EBDITA report</t>
  </si>
  <si>
    <t>TOR Growh Rate</t>
  </si>
  <si>
    <t>June 2025 YTD Actual vs. June 2026 YTD Actual</t>
  </si>
  <si>
    <t>Domestic Utilization Spend</t>
  </si>
  <si>
    <t>May 2026</t>
  </si>
  <si>
    <t>March 2026 vs February 2026
Data provided by the AHEP MPR Dashboard team</t>
  </si>
  <si>
    <t>&lt; 5% but equal to or greater than baseline</t>
  </si>
  <si>
    <t>&lt; Baseline</t>
  </si>
  <si>
    <t>Team and Learning metric rules</t>
  </si>
  <si>
    <t>CFD</t>
  </si>
  <si>
    <t>All facility data pulled by OU</t>
  </si>
  <si>
    <t>EFD</t>
  </si>
  <si>
    <t>All facility data pulled by  BU</t>
  </si>
  <si>
    <t>(except  Palm Coast and Parkway)- data needs to be in OU</t>
  </si>
  <si>
    <t>WFD</t>
  </si>
  <si>
    <t>All facility data pulled by BU</t>
  </si>
  <si>
    <t>(except the following:)- need to be pulled by OU</t>
  </si>
  <si>
    <t>Lake Placid</t>
  </si>
  <si>
    <t>Sebring</t>
  </si>
  <si>
    <t>Wauchula  </t>
  </si>
  <si>
    <t>MSD</t>
  </si>
  <si>
    <t>RMR- all data pulled by OU</t>
  </si>
  <si>
    <t>SER- all data pulled by OU</t>
  </si>
  <si>
    <t>MAR- all data pulled by BU (except South Overland Park &amp; AH Shawnee Mission- pulled by OU)</t>
  </si>
  <si>
    <t>SWR- all data pulled by OU (except TH Huguley pulled by BU) </t>
  </si>
  <si>
    <t>GLR - all data pulled by 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</si>
</sst>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0.0"/>
    <numFmt numFmtId="166" formatCode="&quot;$&quot;#,##0.0_);[Red]\(&quot;$&quot;#,##0.0\)"/>
  </numFmts>
  <fonts count="94" x14ac:knownFonts="1">
    <font>
      <sz val="11"/>
      <color theme="1"/>
      <name val="Proxima Nova"/>
      <family val="2"/>
      <scheme val="minor"/>
    </font>
    <font>
      <sz val="18"/>
      <name val="Arial"/>
      <family val="2"/>
    </font>
    <font>
      <b/>
      <sz val="10"/>
      <color rgb="FFFEFFFF"/>
      <name val="Proxima Nova Semibold"/>
      <family val="2"/>
    </font>
    <font>
      <sz val="10"/>
      <color rgb="FFFEFFFF"/>
      <name val="Proxima Nova Semibold"/>
      <family val="2"/>
    </font>
    <font>
      <sz val="10"/>
      <color rgb="FF555F67"/>
      <name val="Proxima Nova Semibold"/>
      <family val="2"/>
    </font>
    <font>
      <sz val="10.5"/>
      <color rgb="FF005B96"/>
      <name val="Proxima Nova Semibold"/>
      <family val="2"/>
    </font>
    <font>
      <b/>
      <sz val="10.5"/>
      <color rgb="FF005B96"/>
      <name val="Proxima Nova Semibold"/>
      <family val="2"/>
    </font>
    <font>
      <sz val="10"/>
      <color rgb="FF005B96"/>
      <name val="Proxima Nova Semibold"/>
      <family val="2"/>
    </font>
    <font>
      <sz val="10.5"/>
      <color rgb="FFFEFFFF"/>
      <name val="Proxima Nova Semibold"/>
      <family val="2"/>
    </font>
    <font>
      <b/>
      <sz val="10"/>
      <color rgb="FF005B96"/>
      <name val="Proxima Nova Semibold"/>
      <family val="2"/>
    </font>
    <font>
      <b/>
      <sz val="10"/>
      <color rgb="FFFEFFFF"/>
      <name val="Proxima Nova"/>
      <family val="2"/>
    </font>
    <font>
      <sz val="9"/>
      <color rgb="FFFEFFFF"/>
      <name val="Proxima Nova Semibold"/>
      <family val="2"/>
    </font>
    <font>
      <sz val="9.5"/>
      <color rgb="FF005B96"/>
      <name val="Proxima Nova Semibold"/>
      <family val="2"/>
    </font>
    <font>
      <b/>
      <sz val="9"/>
      <color rgb="FFFEFFFF"/>
      <name val="Proxima Nova Semibold"/>
      <family val="2"/>
    </font>
    <font>
      <sz val="9"/>
      <color rgb="FF005B96"/>
      <name val="Proxima Nova Semibold"/>
      <family val="2"/>
    </font>
    <font>
      <sz val="11"/>
      <color theme="1"/>
      <name val="Proxima Nova"/>
      <family val="2"/>
      <scheme val="minor"/>
    </font>
    <font>
      <sz val="13.5"/>
      <color rgb="FF000000"/>
      <name val="Times New Roman"/>
      <family val="1"/>
    </font>
    <font>
      <sz val="10"/>
      <color theme="1"/>
      <name val="Proxima Nova"/>
      <family val="2"/>
    </font>
    <font>
      <sz val="10.5"/>
      <color theme="1"/>
      <name val="Proxima Nova"/>
      <family val="2"/>
    </font>
    <font>
      <sz val="10"/>
      <color theme="3" tint="0.249977111117893"/>
      <name val="Proxima Nova Semibold"/>
      <family val="2"/>
    </font>
    <font>
      <sz val="10.5"/>
      <color theme="3" tint="0.249977111117893"/>
      <name val="Proxima Nova Semibold"/>
      <family val="2"/>
    </font>
    <font>
      <b/>
      <sz val="10"/>
      <color theme="3" tint="0.249977111117893"/>
      <name val="Proxima Nova Semibold"/>
      <family val="2"/>
    </font>
    <font>
      <sz val="9"/>
      <color theme="3" tint="0.249977111117893"/>
      <name val="Proxima Nova Semibold"/>
      <family val="2"/>
    </font>
    <font>
      <sz val="10"/>
      <name val="Arial"/>
      <family val="2"/>
    </font>
    <font>
      <b/>
      <sz val="10"/>
      <color theme="1"/>
      <name val="Proxima Nova"/>
      <family val="2"/>
    </font>
    <font>
      <sz val="10"/>
      <color rgb="FF555F67"/>
      <name val="Arial"/>
      <family val="2"/>
    </font>
    <font>
      <sz val="10"/>
      <color theme="2" tint="-0.499984740745262"/>
      <name val="Proxima Nova Semibold"/>
      <family val="2"/>
    </font>
    <font>
      <sz val="10"/>
      <color theme="1"/>
      <name val="Proxima Nova Semibold"/>
      <family val="2"/>
    </font>
    <font>
      <sz val="10"/>
      <name val="Proxima Nova Semibold"/>
      <family val="2"/>
    </font>
    <font>
      <b/>
      <sz val="10"/>
      <color rgb="FFFFFFFF"/>
      <name val="Proxima Nova Semibold"/>
      <family val="2"/>
    </font>
    <font>
      <b/>
      <sz val="11"/>
      <color rgb="FFFEFFFF"/>
      <name val="Proxima Nova Semibold"/>
      <family val="2"/>
    </font>
    <font>
      <sz val="11"/>
      <color rgb="FFFEFFFF"/>
      <name val="Proxima Nova Semibold"/>
      <family val="2"/>
    </font>
    <font>
      <sz val="11"/>
      <color theme="0"/>
      <name val="Proxima Nova"/>
      <family val="2"/>
      <scheme val="minor"/>
    </font>
    <font>
      <sz val="18"/>
      <color theme="0"/>
      <name val="Arial"/>
      <family val="2"/>
    </font>
    <font>
      <sz val="10"/>
      <color theme="0"/>
      <name val="Proxima Nova Semibold"/>
      <family val="2"/>
    </font>
    <font>
      <b/>
      <sz val="9"/>
      <color theme="0"/>
      <name val="Proxima Nova"/>
      <family val="2"/>
    </font>
    <font>
      <b/>
      <sz val="10"/>
      <color theme="2" tint="-0.499984740745262"/>
      <name val="Proxima Nova Semibold"/>
      <family val="2"/>
    </font>
    <font>
      <b/>
      <sz val="11"/>
      <color theme="0"/>
      <name val="Proxima Nova Semibold"/>
      <family val="2"/>
    </font>
    <font>
      <b/>
      <sz val="10"/>
      <color theme="3" tint="0.24994659260841701"/>
      <name val="Proxima Nova Semibold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0"/>
      <color theme="1"/>
      <name val="Proxima Nova"/>
      <family val="2"/>
      <scheme val="minor"/>
    </font>
    <font>
      <b/>
      <sz val="10"/>
      <color theme="1"/>
      <name val="Proxima Nova Semibold"/>
      <family val="2"/>
    </font>
    <font>
      <sz val="11"/>
      <color theme="0"/>
      <name val="Proxima Nova Semibold"/>
      <family val="2"/>
    </font>
    <font>
      <b/>
      <sz val="14"/>
      <color theme="4"/>
      <name val="Proxima Nova"/>
      <family val="2"/>
      <scheme val="minor"/>
    </font>
    <font>
      <sz val="9"/>
      <color theme="1"/>
      <name val="Proxima Nova"/>
      <family val="2"/>
      <scheme val="minor"/>
    </font>
    <font>
      <sz val="9"/>
      <color theme="1"/>
      <name val="Proxima Nova Thin"/>
    </font>
    <font>
      <sz val="9"/>
      <color rgb="FF005B96"/>
      <name val="Proxima Nova"/>
      <family val="2"/>
    </font>
    <font>
      <b/>
      <sz val="9"/>
      <color rgb="FF005B96"/>
      <name val="Proxima Nova"/>
      <family val="2"/>
    </font>
    <font>
      <sz val="9"/>
      <color theme="3" tint="0.249977111117893"/>
      <name val="Proxima Nova"/>
      <family val="2"/>
    </font>
    <font>
      <sz val="9"/>
      <color theme="1"/>
      <name val="Proxima Nova"/>
      <family val="2"/>
    </font>
    <font>
      <vertAlign val="superscript"/>
      <sz val="10"/>
      <color rgb="FF215C98"/>
      <name val="Proxima Nova Semibold"/>
      <family val="2"/>
    </font>
    <font>
      <sz val="10"/>
      <color rgb="FF215C98"/>
      <name val="Proxima Nova Semibold"/>
      <family val="2"/>
    </font>
    <font>
      <vertAlign val="superscript"/>
      <sz val="10"/>
      <color rgb="FF005B96"/>
      <name val="Proxima Nova Semibold"/>
      <family val="2"/>
    </font>
    <font>
      <b/>
      <sz val="9"/>
      <color rgb="FFFF0000"/>
      <name val="Proxima Nova"/>
      <family val="2"/>
      <scheme val="minor"/>
    </font>
    <font>
      <b/>
      <sz val="33"/>
      <color rgb="FF156082"/>
      <name val="Proxima Nova"/>
      <family val="2"/>
      <scheme val="minor"/>
    </font>
    <font>
      <b/>
      <sz val="11"/>
      <color theme="1"/>
      <name val="Proxima Nova"/>
      <scheme val="minor"/>
    </font>
    <font>
      <sz val="9"/>
      <color rgb="FF156082"/>
      <name val="Proxima Nova"/>
      <family val="2"/>
      <scheme val="minor"/>
    </font>
    <font>
      <sz val="9"/>
      <color rgb="FF005B96"/>
      <name val="Proxima Nova Semibold"/>
    </font>
    <font>
      <sz val="10"/>
      <color rgb="FF005B96"/>
      <name val="Proxima Nova Semibold"/>
    </font>
    <font>
      <sz val="10"/>
      <color rgb="FF555F67"/>
      <name val="Proxima Nova Semibold"/>
    </font>
    <font>
      <sz val="10"/>
      <color theme="1"/>
      <name val="Proxima Nova"/>
    </font>
    <font>
      <sz val="10"/>
      <color theme="3" tint="0.249977111117893"/>
      <name val="Proxima Nova Semibold"/>
    </font>
    <font>
      <b/>
      <sz val="10"/>
      <color rgb="FF005B96"/>
      <name val="Proxima Nova Semibold"/>
    </font>
    <font>
      <sz val="10"/>
      <color rgb="FF215C98"/>
      <name val="Proxima Nova Semibold"/>
    </font>
    <font>
      <sz val="9"/>
      <color theme="3" tint="0.249977111117893"/>
      <name val="Proxima Nova"/>
    </font>
    <font>
      <sz val="9"/>
      <color rgb="FF005B96"/>
      <name val="Proxima Nova"/>
    </font>
    <font>
      <b/>
      <sz val="9"/>
      <color rgb="FF005B96"/>
      <name val="Proxima Nova"/>
    </font>
    <font>
      <b/>
      <sz val="11"/>
      <color rgb="FFFF0000"/>
      <name val="Proxima Nova"/>
      <scheme val="minor"/>
    </font>
    <font>
      <b/>
      <sz val="9"/>
      <color rgb="FFFF0000"/>
      <name val="Proxima Nova"/>
      <scheme val="minor"/>
    </font>
    <font>
      <sz val="8"/>
      <color rgb="FFFEFFFF"/>
      <name val="Proxima Nova Semibold"/>
    </font>
    <font>
      <sz val="8.5"/>
      <color rgb="FFFEFFFF"/>
      <name val="Proxima Nova Semibold"/>
    </font>
    <font>
      <b/>
      <sz val="11"/>
      <color rgb="FFFF0000"/>
      <name val="Proxima Nova"/>
      <family val="2"/>
      <scheme val="minor"/>
    </font>
    <font>
      <b/>
      <sz val="11"/>
      <color rgb="FFFEFFFF"/>
      <name val="Proxima Nova Semibold"/>
    </font>
    <font>
      <sz val="10"/>
      <color rgb="FFFEFFFF"/>
      <name val="Proxima Nova Semibold"/>
    </font>
    <font>
      <b/>
      <sz val="10"/>
      <color rgb="FFFEFFFF"/>
      <name val="Proxima Nova Semibold"/>
    </font>
    <font>
      <b/>
      <sz val="10"/>
      <color theme="3" tint="0.24994659260841701"/>
      <name val="Proxima Nova Semibold"/>
    </font>
    <font>
      <b/>
      <sz val="10"/>
      <color theme="3" tint="0.249977111117893"/>
      <name val="Proxima Nova Semibold"/>
    </font>
    <font>
      <sz val="10"/>
      <color theme="1"/>
      <name val="Proxima Nova Semibold"/>
    </font>
    <font>
      <b/>
      <sz val="11"/>
      <color theme="1"/>
      <name val="Proxima Nova"/>
      <family val="2"/>
      <scheme val="minor"/>
    </font>
    <font>
      <sz val="10"/>
      <name val="Proxima Nova Semibold"/>
    </font>
    <font>
      <sz val="18"/>
      <name val="Arial"/>
    </font>
    <font>
      <sz val="10"/>
      <color theme="0"/>
      <name val="Proxima Nova Semibold"/>
    </font>
    <font>
      <b/>
      <sz val="11"/>
      <color rgb="FF215C98"/>
      <name val="Proxima Nova Semibold"/>
    </font>
    <font>
      <sz val="11"/>
      <color rgb="FF215C98"/>
      <name val="Proxima Nova Semibold"/>
    </font>
    <font>
      <sz val="10"/>
      <color rgb="FF215C98"/>
      <name val="Aptos Narrow"/>
      <family val="2"/>
    </font>
    <font>
      <sz val="11"/>
      <color theme="1"/>
      <name val="Segoe UI"/>
    </font>
    <font>
      <sz val="10.5"/>
      <color theme="0"/>
      <name val="Proxima Nova Semibold"/>
      <family val="2"/>
    </font>
    <font>
      <sz val="10.5"/>
      <color theme="0"/>
      <name val="Proxima Nova Semibold"/>
    </font>
    <font>
      <b/>
      <sz val="10"/>
      <name val="Proxima Nova Semibold"/>
    </font>
    <font>
      <sz val="10"/>
      <color rgb="FF156082"/>
      <name val="Proxima Nova Semibold"/>
    </font>
    <font>
      <b/>
      <sz val="10"/>
      <color rgb="FF215C98"/>
      <name val="Proxima Nova Semibold"/>
    </font>
    <font>
      <sz val="8"/>
      <color theme="1"/>
      <name val="Proxima Nova"/>
      <family val="2"/>
      <scheme val="minor"/>
    </font>
    <font>
      <b/>
      <sz val="11"/>
      <color rgb="FFFFC000"/>
      <name val="Proxima Nova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6298"/>
        <bgColor indexed="64"/>
      </patternFill>
    </fill>
    <fill>
      <patternFill patternType="solid">
        <fgColor rgb="FF00C4B8"/>
        <bgColor indexed="64"/>
      </patternFill>
    </fill>
    <fill>
      <patternFill patternType="solid">
        <fgColor rgb="FFFFA4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2C63"/>
        <bgColor indexed="64"/>
      </patternFill>
    </fill>
    <fill>
      <patternFill patternType="solid">
        <fgColor rgb="FF129FDA"/>
        <bgColor indexed="64"/>
      </patternFill>
    </fill>
    <fill>
      <patternFill patternType="solid">
        <fgColor rgb="FF00625D"/>
        <bgColor indexed="64"/>
      </patternFill>
    </fill>
    <fill>
      <patternFill patternType="solid">
        <fgColor rgb="FF00BFB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63">
    <border>
      <left/>
      <right/>
      <top/>
      <bottom/>
      <diagonal/>
    </border>
    <border>
      <left/>
      <right style="medium">
        <color rgb="FFFEFFFF"/>
      </right>
      <top/>
      <bottom/>
      <diagonal/>
    </border>
    <border>
      <left style="medium">
        <color rgb="FFFEFFFF"/>
      </left>
      <right style="medium">
        <color rgb="FFFEFFFF"/>
      </right>
      <top/>
      <bottom/>
      <diagonal/>
    </border>
    <border>
      <left style="medium">
        <color rgb="FFFEFFFF"/>
      </left>
      <right/>
      <top/>
      <bottom/>
      <diagonal/>
    </border>
    <border>
      <left style="thin">
        <color rgb="FFC6CCD0"/>
      </left>
      <right style="thin">
        <color rgb="FFC6CCD0"/>
      </right>
      <top style="thin">
        <color rgb="FFC6CCD0"/>
      </top>
      <bottom style="thin">
        <color rgb="FFC6CCD0"/>
      </bottom>
      <diagonal/>
    </border>
    <border>
      <left style="thin">
        <color rgb="FFC6CCD0"/>
      </left>
      <right style="thin">
        <color rgb="FFC6CCD0"/>
      </right>
      <top/>
      <bottom/>
      <diagonal/>
    </border>
    <border>
      <left style="thin">
        <color rgb="FFC6CCD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theme="2" tint="-0.24994659260841701"/>
      </left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702C63"/>
      </top>
      <bottom style="thin">
        <color rgb="FF702C63"/>
      </bottom>
      <diagonal/>
    </border>
    <border>
      <left/>
      <right/>
      <top style="thin">
        <color rgb="FF129FDA"/>
      </top>
      <bottom style="thin">
        <color rgb="FF129FDA"/>
      </bottom>
      <diagonal/>
    </border>
    <border>
      <left/>
      <right/>
      <top style="thin">
        <color rgb="FF00625D"/>
      </top>
      <bottom style="thin">
        <color rgb="FF00625D"/>
      </bottom>
      <diagonal/>
    </border>
    <border>
      <left/>
      <right style="medium">
        <color theme="2" tint="-0.24994659260841701"/>
      </right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theme="0"/>
      </left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2" tint="-0.24994659260841701"/>
      </left>
      <right/>
      <top style="thin">
        <color theme="4"/>
      </top>
      <bottom/>
      <diagonal/>
    </border>
    <border>
      <left/>
      <right/>
      <top style="thin">
        <color theme="3" tint="0.24994659260841701"/>
      </top>
      <bottom style="thin">
        <color theme="3" tint="0.24994659260841701"/>
      </bottom>
      <diagonal/>
    </border>
    <border>
      <left/>
      <right/>
      <top/>
      <bottom style="thin">
        <color theme="3" tint="0.2499465926084170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medium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rgb="FFFFC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rgb="FF000000"/>
      </left>
      <right style="thin">
        <color rgb="FFC6CCD0"/>
      </right>
      <top/>
      <bottom/>
      <diagonal/>
    </border>
    <border>
      <left style="thin">
        <color rgb="FFC6CCD0"/>
      </left>
      <right style="medium">
        <color rgb="FF000000"/>
      </right>
      <top/>
      <bottom/>
      <diagonal/>
    </border>
    <border>
      <left style="thin">
        <color theme="0" tint="-0.14999847407452621"/>
      </left>
      <right style="medium">
        <color rgb="FF000000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/>
      <diagonal/>
    </border>
    <border>
      <left style="medium">
        <color rgb="FF000000"/>
      </left>
      <right style="thin">
        <color rgb="FFC6CCD0"/>
      </right>
      <top style="thin">
        <color rgb="FFC6CCD0"/>
      </top>
      <bottom style="thin">
        <color rgb="FFC6CCD0"/>
      </bottom>
      <diagonal/>
    </border>
    <border>
      <left style="thin">
        <color rgb="FFC6CCD0"/>
      </left>
      <right style="medium">
        <color rgb="FF000000"/>
      </right>
      <top style="thin">
        <color rgb="FFC6CCD0"/>
      </top>
      <bottom style="thin">
        <color rgb="FFC6CCD0"/>
      </bottom>
      <diagonal/>
    </border>
    <border>
      <left style="thin">
        <color theme="0" tint="-0.1499984740745262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0000"/>
      </bottom>
      <diagonal/>
    </border>
    <border>
      <left style="thin">
        <color theme="0" tint="-0.14999847407452621"/>
      </left>
      <right style="medium">
        <color rgb="FF000000"/>
      </right>
      <top style="thin">
        <color theme="0" tint="-0.14999847407452621"/>
      </top>
      <bottom style="medium">
        <color rgb="FF000000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2" tint="-0.24994659260841701"/>
      </left>
      <right style="thin">
        <color theme="0" tint="-0.1499679555650502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rgb="FFFFC000"/>
      </top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2" tint="-0.24994659260841701"/>
      </left>
      <right style="thin">
        <color theme="2" tint="-0.24994659260841701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524">
    <xf numFmtId="0" fontId="0" fillId="0" borderId="0" xfId="0"/>
    <xf numFmtId="0" fontId="13" fillId="4" borderId="4" xfId="0" applyFont="1" applyFill="1" applyBorder="1" applyAlignment="1">
      <alignment horizontal="center" vertical="center" wrapText="1" readingOrder="1"/>
    </xf>
    <xf numFmtId="0" fontId="13" fillId="5" borderId="4" xfId="0" applyFont="1" applyFill="1" applyBorder="1" applyAlignment="1">
      <alignment horizontal="center" vertical="center" wrapText="1" readingOrder="1"/>
    </xf>
    <xf numFmtId="0" fontId="13" fillId="6" borderId="4" xfId="0" applyFont="1" applyFill="1" applyBorder="1" applyAlignment="1">
      <alignment horizontal="center" vertical="center" wrapText="1" readingOrder="1"/>
    </xf>
    <xf numFmtId="0" fontId="13" fillId="7" borderId="4" xfId="0" applyFont="1" applyFill="1" applyBorder="1" applyAlignment="1">
      <alignment horizontal="center" vertical="center" wrapText="1" readingOrder="1"/>
    </xf>
    <xf numFmtId="0" fontId="11" fillId="8" borderId="4" xfId="0" applyFont="1" applyFill="1" applyBorder="1" applyAlignment="1">
      <alignment horizontal="center" vertical="center" wrapText="1" readingOrder="1"/>
    </xf>
    <xf numFmtId="0" fontId="11" fillId="8" borderId="4" xfId="0" applyFont="1" applyFill="1" applyBorder="1" applyAlignment="1">
      <alignment horizontal="center" wrapText="1" readingOrder="1"/>
    </xf>
    <xf numFmtId="0" fontId="13" fillId="8" borderId="4" xfId="0" applyFont="1" applyFill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2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2" fontId="14" fillId="0" borderId="0" xfId="0" applyNumberFormat="1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9" fillId="0" borderId="0" xfId="0" applyFont="1" applyAlignment="1">
      <alignment horizontal="center" vertical="center" wrapText="1" readingOrder="1"/>
    </xf>
    <xf numFmtId="0" fontId="21" fillId="0" borderId="0" xfId="0" applyFont="1" applyAlignment="1">
      <alignment horizontal="center" vertical="center" wrapText="1" readingOrder="1"/>
    </xf>
    <xf numFmtId="0" fontId="24" fillId="0" borderId="0" xfId="0" applyFont="1" applyAlignment="1">
      <alignment horizontal="center" vertical="center" wrapText="1" readingOrder="1"/>
    </xf>
    <xf numFmtId="0" fontId="17" fillId="0" borderId="0" xfId="0" applyFont="1" applyAlignment="1">
      <alignment horizontal="center" vertical="center" wrapText="1" readingOrder="1"/>
    </xf>
    <xf numFmtId="164" fontId="21" fillId="0" borderId="0" xfId="0" applyNumberFormat="1" applyFont="1" applyAlignment="1">
      <alignment horizontal="center" vertical="center" wrapText="1" readingOrder="1"/>
    </xf>
    <xf numFmtId="164" fontId="24" fillId="0" borderId="0" xfId="0" applyNumberFormat="1" applyFont="1" applyAlignment="1">
      <alignment horizontal="center" vertical="center" wrapText="1" readingOrder="1"/>
    </xf>
    <xf numFmtId="10" fontId="17" fillId="0" borderId="0" xfId="0" applyNumberFormat="1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2" fontId="7" fillId="0" borderId="0" xfId="0" applyNumberFormat="1" applyFont="1" applyAlignment="1">
      <alignment horizontal="center" vertical="center" wrapText="1" readingOrder="1"/>
    </xf>
    <xf numFmtId="164" fontId="19" fillId="0" borderId="0" xfId="0" applyNumberFormat="1" applyFont="1" applyAlignment="1">
      <alignment horizontal="center" vertical="center" wrapText="1" readingOrder="1"/>
    </xf>
    <xf numFmtId="164" fontId="7" fillId="0" borderId="0" xfId="0" applyNumberFormat="1" applyFont="1" applyAlignment="1">
      <alignment horizontal="center" vertical="center" wrapText="1" readingOrder="1"/>
    </xf>
    <xf numFmtId="10" fontId="20" fillId="0" borderId="0" xfId="0" applyNumberFormat="1" applyFont="1" applyAlignment="1">
      <alignment horizontal="center" vertical="center" wrapText="1" readingOrder="1"/>
    </xf>
    <xf numFmtId="9" fontId="9" fillId="0" borderId="0" xfId="0" applyNumberFormat="1" applyFont="1" applyAlignment="1">
      <alignment horizontal="center" vertical="center" wrapText="1" readingOrder="1"/>
    </xf>
    <xf numFmtId="2" fontId="9" fillId="0" borderId="0" xfId="0" applyNumberFormat="1" applyFont="1" applyAlignment="1">
      <alignment horizontal="center" vertical="center" wrapText="1" readingOrder="1"/>
    </xf>
    <xf numFmtId="164" fontId="9" fillId="0" borderId="0" xfId="0" applyNumberFormat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 readingOrder="1"/>
    </xf>
    <xf numFmtId="0" fontId="10" fillId="4" borderId="0" xfId="0" applyFont="1" applyFill="1" applyAlignment="1">
      <alignment horizontal="left" vertical="center" wrapText="1" indent="1" readingOrder="1"/>
    </xf>
    <xf numFmtId="0" fontId="10" fillId="5" borderId="0" xfId="0" applyFont="1" applyFill="1" applyAlignment="1">
      <alignment horizontal="left" vertical="center" wrapText="1" indent="1" readingOrder="1"/>
    </xf>
    <xf numFmtId="0" fontId="2" fillId="9" borderId="0" xfId="0" applyFont="1" applyFill="1" applyAlignment="1">
      <alignment horizontal="center" vertical="center" wrapText="1" readingOrder="1"/>
    </xf>
    <xf numFmtId="0" fontId="27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 readingOrder="1"/>
    </xf>
    <xf numFmtId="0" fontId="28" fillId="0" borderId="0" xfId="0" applyFont="1" applyAlignment="1">
      <alignment vertical="center" wrapText="1"/>
    </xf>
    <xf numFmtId="0" fontId="2" fillId="10" borderId="0" xfId="0" applyFont="1" applyFill="1" applyAlignment="1">
      <alignment horizontal="center" vertical="center" wrapText="1" readingOrder="1"/>
    </xf>
    <xf numFmtId="0" fontId="3" fillId="10" borderId="3" xfId="0" applyFont="1" applyFill="1" applyBorder="1" applyAlignment="1">
      <alignment horizontal="center" vertical="center" wrapText="1" readingOrder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left" vertical="center" wrapText="1" indent="1" readingOrder="1"/>
    </xf>
    <xf numFmtId="0" fontId="1" fillId="6" borderId="13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 readingOrder="1"/>
    </xf>
    <xf numFmtId="0" fontId="30" fillId="2" borderId="0" xfId="0" applyFont="1" applyFill="1" applyAlignment="1">
      <alignment horizontal="center" vertical="center" wrapText="1" readingOrder="1"/>
    </xf>
    <xf numFmtId="0" fontId="33" fillId="12" borderId="0" xfId="0" applyFont="1" applyFill="1" applyAlignment="1">
      <alignment vertical="center" wrapText="1"/>
    </xf>
    <xf numFmtId="0" fontId="32" fillId="12" borderId="0" xfId="0" applyFont="1" applyFill="1"/>
    <xf numFmtId="0" fontId="30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readingOrder="1"/>
    </xf>
    <xf numFmtId="0" fontId="30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readingOrder="1"/>
    </xf>
    <xf numFmtId="0" fontId="30" fillId="5" borderId="0" xfId="0" applyFont="1" applyFill="1" applyAlignment="1">
      <alignment vertical="center" wrapText="1" readingOrder="1"/>
    </xf>
    <xf numFmtId="0" fontId="8" fillId="8" borderId="0" xfId="0" applyFont="1" applyFill="1" applyAlignment="1">
      <alignment vertical="center" wrapText="1" readingOrder="1"/>
    </xf>
    <xf numFmtId="0" fontId="31" fillId="8" borderId="0" xfId="0" applyFont="1" applyFill="1" applyAlignment="1">
      <alignment vertical="center" wrapText="1" readingOrder="1"/>
    </xf>
    <xf numFmtId="0" fontId="2" fillId="6" borderId="0" xfId="0" applyFont="1" applyFill="1" applyAlignment="1">
      <alignment vertical="center" wrapText="1" readingOrder="1"/>
    </xf>
    <xf numFmtId="0" fontId="3" fillId="6" borderId="0" xfId="0" applyFont="1" applyFill="1" applyAlignment="1">
      <alignment vertical="center" wrapText="1" readingOrder="1"/>
    </xf>
    <xf numFmtId="0" fontId="2" fillId="6" borderId="0" xfId="0" applyFont="1" applyFill="1" applyAlignment="1">
      <alignment vertical="center" readingOrder="1"/>
    </xf>
    <xf numFmtId="0" fontId="30" fillId="6" borderId="0" xfId="0" applyFont="1" applyFill="1" applyAlignment="1">
      <alignment vertical="center" wrapText="1" readingOrder="1"/>
    </xf>
    <xf numFmtId="0" fontId="3" fillId="7" borderId="0" xfId="0" applyFont="1" applyFill="1" applyAlignment="1">
      <alignment vertical="center" wrapText="1" readingOrder="1"/>
    </xf>
    <xf numFmtId="0" fontId="3" fillId="7" borderId="0" xfId="0" applyFont="1" applyFill="1" applyAlignment="1">
      <alignment vertical="center" readingOrder="1"/>
    </xf>
    <xf numFmtId="0" fontId="31" fillId="7" borderId="0" xfId="0" applyFont="1" applyFill="1" applyAlignment="1">
      <alignment vertical="center" wrapText="1" readingOrder="1"/>
    </xf>
    <xf numFmtId="0" fontId="26" fillId="0" borderId="0" xfId="0" applyFont="1" applyAlignment="1">
      <alignment horizontal="left" vertical="center" wrapText="1" readingOrder="1"/>
    </xf>
    <xf numFmtId="0" fontId="4" fillId="0" borderId="16" xfId="0" applyFont="1" applyBorder="1" applyAlignment="1">
      <alignment horizontal="left" vertical="center" wrapText="1" readingOrder="1"/>
    </xf>
    <xf numFmtId="0" fontId="2" fillId="4" borderId="11" xfId="0" applyFont="1" applyFill="1" applyBorder="1" applyAlignment="1">
      <alignment vertical="center" wrapText="1" readingOrder="1"/>
    </xf>
    <xf numFmtId="0" fontId="3" fillId="5" borderId="12" xfId="0" applyFont="1" applyFill="1" applyBorder="1" applyAlignment="1">
      <alignment vertical="center" wrapText="1" readingOrder="1"/>
    </xf>
    <xf numFmtId="0" fontId="3" fillId="6" borderId="13" xfId="0" applyFont="1" applyFill="1" applyBorder="1" applyAlignment="1">
      <alignment wrapText="1" readingOrder="1"/>
    </xf>
    <xf numFmtId="0" fontId="3" fillId="7" borderId="14" xfId="0" applyFont="1" applyFill="1" applyBorder="1" applyAlignment="1">
      <alignment vertical="center" wrapText="1" readingOrder="1"/>
    </xf>
    <xf numFmtId="0" fontId="3" fillId="8" borderId="15" xfId="0" applyFont="1" applyFill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3" fillId="0" borderId="0" xfId="0" applyFont="1" applyAlignment="1">
      <alignment wrapText="1" readingOrder="1"/>
    </xf>
    <xf numFmtId="0" fontId="37" fillId="12" borderId="0" xfId="0" applyFont="1" applyFill="1" applyAlignment="1">
      <alignment vertical="center" wrapText="1"/>
    </xf>
    <xf numFmtId="9" fontId="24" fillId="0" borderId="0" xfId="0" applyNumberFormat="1" applyFont="1" applyAlignment="1">
      <alignment horizontal="center" vertical="center" wrapText="1" readingOrder="1"/>
    </xf>
    <xf numFmtId="9" fontId="17" fillId="0" borderId="0" xfId="0" applyNumberFormat="1" applyFont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39" fillId="0" borderId="17" xfId="0" applyFont="1" applyBorder="1" applyAlignment="1">
      <alignment vertical="center" wrapText="1"/>
    </xf>
    <xf numFmtId="0" fontId="40" fillId="0" borderId="18" xfId="0" applyFont="1" applyBorder="1" applyAlignment="1">
      <alignment vertical="center" wrapText="1"/>
    </xf>
    <xf numFmtId="0" fontId="39" fillId="0" borderId="18" xfId="0" applyFont="1" applyBorder="1" applyAlignment="1">
      <alignment vertical="center" wrapText="1"/>
    </xf>
    <xf numFmtId="0" fontId="40" fillId="0" borderId="19" xfId="0" applyFont="1" applyBorder="1" applyAlignment="1">
      <alignment vertical="center" wrapText="1"/>
    </xf>
    <xf numFmtId="1" fontId="7" fillId="0" borderId="0" xfId="0" applyNumberFormat="1" applyFont="1" applyAlignment="1">
      <alignment horizontal="center" vertical="center" wrapText="1" readingOrder="1"/>
    </xf>
    <xf numFmtId="9" fontId="7" fillId="0" borderId="0" xfId="0" applyNumberFormat="1" applyFont="1" applyAlignment="1">
      <alignment horizontal="center" vertical="center" wrapText="1" readingOrder="1"/>
    </xf>
    <xf numFmtId="2" fontId="0" fillId="0" borderId="0" xfId="0" applyNumberFormat="1"/>
    <xf numFmtId="0" fontId="7" fillId="13" borderId="0" xfId="0" applyFont="1" applyFill="1" applyAlignment="1">
      <alignment horizontal="center" vertical="center" wrapText="1" readingOrder="1"/>
    </xf>
    <xf numFmtId="0" fontId="0" fillId="13" borderId="0" xfId="0" applyFill="1"/>
    <xf numFmtId="2" fontId="7" fillId="13" borderId="0" xfId="0" applyNumberFormat="1" applyFont="1" applyFill="1" applyAlignment="1">
      <alignment horizontal="center" vertical="center" wrapText="1" readingOrder="1"/>
    </xf>
    <xf numFmtId="0" fontId="1" fillId="13" borderId="0" xfId="0" applyFont="1" applyFill="1" applyAlignment="1">
      <alignment vertical="center" wrapText="1"/>
    </xf>
    <xf numFmtId="0" fontId="23" fillId="13" borderId="0" xfId="0" applyFont="1" applyFill="1" applyAlignment="1">
      <alignment vertical="center" wrapText="1"/>
    </xf>
    <xf numFmtId="0" fontId="1" fillId="13" borderId="0" xfId="0" applyFont="1" applyFill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32" fillId="0" borderId="0" xfId="0" applyFont="1"/>
    <xf numFmtId="0" fontId="8" fillId="0" borderId="0" xfId="0" applyFont="1" applyAlignment="1">
      <alignment vertical="center" wrapText="1" readingOrder="1"/>
    </xf>
    <xf numFmtId="2" fontId="4" fillId="0" borderId="16" xfId="0" applyNumberFormat="1" applyFont="1" applyBorder="1" applyAlignment="1">
      <alignment horizontal="left" vertical="center" wrapText="1" readingOrder="1"/>
    </xf>
    <xf numFmtId="0" fontId="26" fillId="0" borderId="0" xfId="0" applyFont="1" applyAlignment="1">
      <alignment vertical="center" wrapText="1"/>
    </xf>
    <xf numFmtId="0" fontId="1" fillId="1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9" fontId="24" fillId="0" borderId="16" xfId="0" applyNumberFormat="1" applyFont="1" applyBorder="1" applyAlignment="1">
      <alignment horizontal="center" vertical="center" wrapText="1" readingOrder="1"/>
    </xf>
    <xf numFmtId="0" fontId="24" fillId="0" borderId="16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left" vertical="center" wrapText="1" readingOrder="1"/>
    </xf>
    <xf numFmtId="0" fontId="19" fillId="0" borderId="16" xfId="0" applyFont="1" applyBorder="1" applyAlignment="1">
      <alignment horizontal="center" vertical="center" wrapText="1" readingOrder="1"/>
    </xf>
    <xf numFmtId="0" fontId="23" fillId="13" borderId="0" xfId="0" applyFont="1" applyFill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 readingOrder="1"/>
    </xf>
    <xf numFmtId="0" fontId="42" fillId="0" borderId="0" xfId="0" applyFont="1" applyAlignment="1">
      <alignment horizontal="center" vertical="center" wrapText="1" readingOrder="1"/>
    </xf>
    <xf numFmtId="0" fontId="27" fillId="0" borderId="16" xfId="0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horizontal="center" wrapText="1" readingOrder="1"/>
    </xf>
    <xf numFmtId="10" fontId="7" fillId="0" borderId="16" xfId="0" applyNumberFormat="1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vertical="center" wrapText="1" readingOrder="1"/>
    </xf>
    <xf numFmtId="164" fontId="19" fillId="0" borderId="16" xfId="0" applyNumberFormat="1" applyFont="1" applyBorder="1" applyAlignment="1">
      <alignment horizontal="center" vertical="center" wrapText="1" readingOrder="1"/>
    </xf>
    <xf numFmtId="0" fontId="37" fillId="12" borderId="25" xfId="0" applyFont="1" applyFill="1" applyBorder="1" applyAlignment="1">
      <alignment vertical="center" wrapText="1"/>
    </xf>
    <xf numFmtId="0" fontId="34" fillId="12" borderId="25" xfId="0" applyFont="1" applyFill="1" applyBorder="1" applyAlignment="1">
      <alignment horizontal="left" vertical="center" readingOrder="1"/>
    </xf>
    <xf numFmtId="0" fontId="33" fillId="12" borderId="25" xfId="0" applyFont="1" applyFill="1" applyBorder="1" applyAlignment="1">
      <alignment vertical="center" wrapText="1"/>
    </xf>
    <xf numFmtId="0" fontId="32" fillId="12" borderId="25" xfId="0" applyFont="1" applyFill="1" applyBorder="1"/>
    <xf numFmtId="0" fontId="23" fillId="12" borderId="25" xfId="0" applyFont="1" applyFill="1" applyBorder="1" applyAlignment="1">
      <alignment vertical="center" wrapText="1"/>
    </xf>
    <xf numFmtId="0" fontId="1" fillId="12" borderId="25" xfId="0" applyFont="1" applyFill="1" applyBorder="1" applyAlignment="1">
      <alignment horizontal="center" vertical="center" wrapText="1"/>
    </xf>
    <xf numFmtId="9" fontId="7" fillId="0" borderId="16" xfId="0" applyNumberFormat="1" applyFont="1" applyBorder="1" applyAlignment="1">
      <alignment horizontal="center" wrapText="1" readingOrder="1"/>
    </xf>
    <xf numFmtId="9" fontId="7" fillId="0" borderId="16" xfId="1" applyFont="1" applyBorder="1" applyAlignment="1">
      <alignment horizontal="center" wrapText="1" readingOrder="1"/>
    </xf>
    <xf numFmtId="9" fontId="5" fillId="0" borderId="16" xfId="0" applyNumberFormat="1" applyFont="1" applyBorder="1" applyAlignment="1">
      <alignment horizontal="center" wrapText="1" readingOrder="1"/>
    </xf>
    <xf numFmtId="9" fontId="5" fillId="0" borderId="16" xfId="1" applyFont="1" applyBorder="1" applyAlignment="1">
      <alignment horizontal="center" wrapText="1" readingOrder="1"/>
    </xf>
    <xf numFmtId="0" fontId="3" fillId="8" borderId="0" xfId="0" applyFont="1" applyFill="1" applyAlignment="1">
      <alignment vertical="center" readingOrder="1"/>
    </xf>
    <xf numFmtId="0" fontId="43" fillId="12" borderId="21" xfId="0" applyFont="1" applyFill="1" applyBorder="1" applyAlignment="1">
      <alignment vertical="center" wrapText="1"/>
    </xf>
    <xf numFmtId="0" fontId="43" fillId="12" borderId="0" xfId="0" applyFont="1" applyFill="1" applyAlignment="1">
      <alignment vertical="center" wrapText="1"/>
    </xf>
    <xf numFmtId="1" fontId="21" fillId="0" borderId="0" xfId="0" applyNumberFormat="1" applyFont="1" applyAlignment="1">
      <alignment horizontal="center" vertical="center" wrapText="1" readingOrder="1"/>
    </xf>
    <xf numFmtId="2" fontId="42" fillId="0" borderId="0" xfId="0" applyNumberFormat="1" applyFont="1" applyAlignment="1">
      <alignment horizontal="center" vertical="center" wrapText="1" readingOrder="1"/>
    </xf>
    <xf numFmtId="2" fontId="27" fillId="0" borderId="0" xfId="0" applyNumberFormat="1" applyFont="1" applyAlignment="1">
      <alignment horizontal="center" vertical="center" wrapText="1" readingOrder="1"/>
    </xf>
    <xf numFmtId="1" fontId="24" fillId="0" borderId="0" xfId="0" applyNumberFormat="1" applyFont="1" applyAlignment="1">
      <alignment horizontal="center" vertical="center" wrapText="1" readingOrder="1"/>
    </xf>
    <xf numFmtId="1" fontId="17" fillId="0" borderId="0" xfId="0" applyNumberFormat="1" applyFont="1" applyAlignment="1">
      <alignment horizontal="center" vertical="center" wrapText="1" readingOrder="1"/>
    </xf>
    <xf numFmtId="1" fontId="42" fillId="0" borderId="0" xfId="0" applyNumberFormat="1" applyFont="1" applyAlignment="1">
      <alignment horizontal="center" vertical="center" wrapText="1" readingOrder="1"/>
    </xf>
    <xf numFmtId="0" fontId="34" fillId="12" borderId="26" xfId="0" applyFont="1" applyFill="1" applyBorder="1" applyAlignment="1">
      <alignment horizontal="left" vertical="center" readingOrder="1"/>
    </xf>
    <xf numFmtId="0" fontId="33" fillId="12" borderId="26" xfId="0" applyFont="1" applyFill="1" applyBorder="1" applyAlignment="1">
      <alignment vertical="center" wrapText="1"/>
    </xf>
    <xf numFmtId="0" fontId="32" fillId="12" borderId="26" xfId="0" applyFont="1" applyFill="1" applyBorder="1"/>
    <xf numFmtId="0" fontId="23" fillId="12" borderId="26" xfId="0" applyFont="1" applyFill="1" applyBorder="1" applyAlignment="1">
      <alignment vertical="center" wrapText="1"/>
    </xf>
    <xf numFmtId="0" fontId="23" fillId="12" borderId="26" xfId="0" applyFont="1" applyFill="1" applyBorder="1" applyAlignment="1">
      <alignment horizontal="center" vertical="center" wrapText="1"/>
    </xf>
    <xf numFmtId="9" fontId="7" fillId="0" borderId="16" xfId="0" applyNumberFormat="1" applyFont="1" applyBorder="1" applyAlignment="1">
      <alignment horizontal="center" vertical="center" wrapText="1" readingOrder="1"/>
    </xf>
    <xf numFmtId="9" fontId="7" fillId="0" borderId="16" xfId="1" applyFont="1" applyBorder="1" applyAlignment="1">
      <alignment horizontal="center" vertical="center" wrapText="1" readingOrder="1"/>
    </xf>
    <xf numFmtId="1" fontId="42" fillId="0" borderId="16" xfId="0" applyNumberFormat="1" applyFont="1" applyBorder="1" applyAlignment="1">
      <alignment horizontal="center" vertical="center" wrapText="1" readingOrder="1"/>
    </xf>
    <xf numFmtId="1" fontId="24" fillId="0" borderId="16" xfId="0" applyNumberFormat="1" applyFont="1" applyBorder="1" applyAlignment="1">
      <alignment horizontal="center" vertical="center" wrapText="1" readingOrder="1"/>
    </xf>
    <xf numFmtId="0" fontId="13" fillId="3" borderId="5" xfId="0" applyFont="1" applyFill="1" applyBorder="1" applyAlignment="1">
      <alignment horizontal="center" vertical="center" wrapText="1" readingOrder="1"/>
    </xf>
    <xf numFmtId="0" fontId="44" fillId="0" borderId="0" xfId="0" applyFont="1"/>
    <xf numFmtId="0" fontId="45" fillId="0" borderId="0" xfId="0" applyFont="1"/>
    <xf numFmtId="0" fontId="46" fillId="0" borderId="0" xfId="0" applyFont="1"/>
    <xf numFmtId="164" fontId="4" fillId="0" borderId="16" xfId="0" applyNumberFormat="1" applyFont="1" applyBorder="1" applyAlignment="1">
      <alignment horizontal="left" vertical="center" wrapText="1" readingOrder="1"/>
    </xf>
    <xf numFmtId="0" fontId="4" fillId="0" borderId="16" xfId="0" applyFont="1" applyBorder="1" applyAlignment="1">
      <alignment horizontal="left" vertical="center" wrapText="1" indent="1" readingOrder="1"/>
    </xf>
    <xf numFmtId="0" fontId="47" fillId="0" borderId="27" xfId="0" applyFont="1" applyBorder="1" applyAlignment="1">
      <alignment horizontal="left" vertical="center" wrapText="1" readingOrder="1"/>
    </xf>
    <xf numFmtId="0" fontId="47" fillId="0" borderId="28" xfId="0" applyFont="1" applyBorder="1" applyAlignment="1">
      <alignment horizontal="center" vertical="center" wrapText="1" readingOrder="1"/>
    </xf>
    <xf numFmtId="0" fontId="47" fillId="14" borderId="28" xfId="0" applyFont="1" applyFill="1" applyBorder="1" applyAlignment="1">
      <alignment horizontal="left" vertical="center" wrapText="1" readingOrder="1"/>
    </xf>
    <xf numFmtId="0" fontId="47" fillId="0" borderId="28" xfId="0" applyFont="1" applyBorder="1" applyAlignment="1">
      <alignment horizontal="left" vertical="center" wrapText="1" readingOrder="1"/>
    </xf>
    <xf numFmtId="0" fontId="47" fillId="14" borderId="29" xfId="0" applyFont="1" applyFill="1" applyBorder="1" applyAlignment="1">
      <alignment horizontal="left" vertical="center" wrapText="1" readingOrder="1"/>
    </xf>
    <xf numFmtId="0" fontId="47" fillId="11" borderId="27" xfId="0" applyFont="1" applyFill="1" applyBorder="1" applyAlignment="1">
      <alignment horizontal="center" vertical="center" wrapText="1" readingOrder="1"/>
    </xf>
    <xf numFmtId="0" fontId="47" fillId="11" borderId="27" xfId="0" applyFont="1" applyFill="1" applyBorder="1" applyAlignment="1">
      <alignment horizontal="left" vertical="center" wrapText="1" readingOrder="1"/>
    </xf>
    <xf numFmtId="0" fontId="47" fillId="11" borderId="28" xfId="0" applyFont="1" applyFill="1" applyBorder="1" applyAlignment="1">
      <alignment horizontal="center" vertical="center" wrapText="1" readingOrder="1"/>
    </xf>
    <xf numFmtId="0" fontId="47" fillId="11" borderId="28" xfId="0" applyFont="1" applyFill="1" applyBorder="1" applyAlignment="1">
      <alignment horizontal="left" vertical="center" wrapText="1" readingOrder="1"/>
    </xf>
    <xf numFmtId="0" fontId="47" fillId="11" borderId="29" xfId="0" applyFont="1" applyFill="1" applyBorder="1" applyAlignment="1">
      <alignment horizontal="left" vertical="center" wrapText="1" readingOrder="1"/>
    </xf>
    <xf numFmtId="0" fontId="47" fillId="14" borderId="27" xfId="0" applyFont="1" applyFill="1" applyBorder="1" applyAlignment="1">
      <alignment horizontal="left" vertical="center" wrapText="1" readingOrder="1"/>
    </xf>
    <xf numFmtId="0" fontId="52" fillId="0" borderId="0" xfId="0" applyFont="1" applyAlignment="1">
      <alignment horizontal="center" vertical="center" wrapText="1" readingOrder="1"/>
    </xf>
    <xf numFmtId="9" fontId="52" fillId="0" borderId="0" xfId="0" applyNumberFormat="1" applyFont="1" applyAlignment="1">
      <alignment horizontal="center" vertical="center" wrapText="1" readingOrder="1"/>
    </xf>
    <xf numFmtId="1" fontId="9" fillId="0" borderId="0" xfId="0" applyNumberFormat="1" applyFont="1" applyAlignment="1">
      <alignment horizontal="center" vertical="center" wrapText="1" readingOrder="1"/>
    </xf>
    <xf numFmtId="164" fontId="52" fillId="0" borderId="0" xfId="0" applyNumberFormat="1" applyFont="1" applyAlignment="1">
      <alignment horizontal="center" vertical="center" wrapText="1" readingOrder="1"/>
    </xf>
    <xf numFmtId="164" fontId="52" fillId="11" borderId="0" xfId="0" applyNumberFormat="1" applyFont="1" applyFill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33" fillId="1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 readingOrder="1"/>
    </xf>
    <xf numFmtId="0" fontId="2" fillId="5" borderId="0" xfId="0" applyFont="1" applyFill="1" applyAlignment="1">
      <alignment horizontal="center" vertical="center" wrapText="1" readingOrder="1"/>
    </xf>
    <xf numFmtId="0" fontId="3" fillId="6" borderId="0" xfId="0" applyFont="1" applyFill="1" applyAlignment="1">
      <alignment horizontal="center" vertical="center" wrapText="1" readingOrder="1"/>
    </xf>
    <xf numFmtId="0" fontId="3" fillId="7" borderId="0" xfId="0" applyFont="1" applyFill="1" applyAlignment="1">
      <alignment horizontal="center" vertical="center" wrapText="1" readingOrder="1"/>
    </xf>
    <xf numFmtId="0" fontId="8" fillId="8" borderId="0" xfId="0" applyFont="1" applyFill="1" applyAlignment="1">
      <alignment horizontal="center" vertical="center" wrapText="1" readingOrder="1"/>
    </xf>
    <xf numFmtId="164" fontId="7" fillId="0" borderId="35" xfId="1" applyNumberFormat="1" applyFont="1" applyBorder="1" applyAlignment="1">
      <alignment horizontal="center" vertical="center" wrapText="1" readingOrder="1"/>
    </xf>
    <xf numFmtId="0" fontId="14" fillId="0" borderId="35" xfId="0" applyFont="1" applyBorder="1" applyAlignment="1">
      <alignment horizontal="center" vertical="center" wrapText="1" readingOrder="1"/>
    </xf>
    <xf numFmtId="2" fontId="7" fillId="0" borderId="34" xfId="0" applyNumberFormat="1" applyFont="1" applyBorder="1" applyAlignment="1">
      <alignment horizontal="center" vertical="center" wrapText="1" readingOrder="1"/>
    </xf>
    <xf numFmtId="2" fontId="7" fillId="0" borderId="35" xfId="0" applyNumberFormat="1" applyFont="1" applyBorder="1" applyAlignment="1">
      <alignment horizontal="center" vertical="center" wrapText="1" readingOrder="1"/>
    </xf>
    <xf numFmtId="2" fontId="19" fillId="0" borderId="35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 readingOrder="1"/>
    </xf>
    <xf numFmtId="0" fontId="7" fillId="0" borderId="35" xfId="0" applyFont="1" applyBorder="1" applyAlignment="1">
      <alignment horizontal="center" vertical="center" wrapText="1" readingOrder="1"/>
    </xf>
    <xf numFmtId="2" fontId="14" fillId="0" borderId="35" xfId="0" applyNumberFormat="1" applyFont="1" applyBorder="1" applyAlignment="1">
      <alignment horizontal="center" vertical="center" wrapText="1" readingOrder="1"/>
    </xf>
    <xf numFmtId="164" fontId="7" fillId="0" borderId="34" xfId="0" applyNumberFormat="1" applyFont="1" applyBorder="1" applyAlignment="1">
      <alignment horizontal="center" vertical="center" wrapText="1" readingOrder="1"/>
    </xf>
    <xf numFmtId="164" fontId="7" fillId="0" borderId="35" xfId="0" applyNumberFormat="1" applyFont="1" applyBorder="1" applyAlignment="1">
      <alignment horizontal="center" vertical="center" wrapText="1" readingOrder="1"/>
    </xf>
    <xf numFmtId="0" fontId="19" fillId="0" borderId="34" xfId="0" applyFont="1" applyBorder="1" applyAlignment="1">
      <alignment horizontal="center" vertical="center" wrapText="1" readingOrder="1"/>
    </xf>
    <xf numFmtId="0" fontId="27" fillId="0" borderId="35" xfId="0" applyFont="1" applyBorder="1" applyAlignment="1">
      <alignment horizontal="center" vertical="center" wrapText="1" readingOrder="1"/>
    </xf>
    <xf numFmtId="1" fontId="19" fillId="0" borderId="34" xfId="0" applyNumberFormat="1" applyFont="1" applyBorder="1" applyAlignment="1">
      <alignment horizontal="center" vertical="center" wrapText="1" readingOrder="1"/>
    </xf>
    <xf numFmtId="1" fontId="19" fillId="0" borderId="35" xfId="0" applyNumberFormat="1" applyFont="1" applyBorder="1" applyAlignment="1">
      <alignment horizontal="center" vertical="center" wrapText="1" readingOrder="1"/>
    </xf>
    <xf numFmtId="1" fontId="19" fillId="0" borderId="34" xfId="1" applyNumberFormat="1" applyFont="1" applyBorder="1" applyAlignment="1">
      <alignment horizontal="center" vertical="center" wrapText="1" readingOrder="1"/>
    </xf>
    <xf numFmtId="0" fontId="9" fillId="0" borderId="35" xfId="0" applyFont="1" applyBorder="1" applyAlignment="1">
      <alignment horizontal="center" vertical="center" wrapText="1" readingOrder="1"/>
    </xf>
    <xf numFmtId="2" fontId="9" fillId="0" borderId="35" xfId="0" applyNumberFormat="1" applyFont="1" applyBorder="1" applyAlignment="1">
      <alignment horizontal="center" vertical="center" wrapText="1" readingOrder="1"/>
    </xf>
    <xf numFmtId="9" fontId="9" fillId="0" borderId="35" xfId="0" applyNumberFormat="1" applyFont="1" applyBorder="1" applyAlignment="1">
      <alignment horizontal="center" vertical="center" wrapText="1" readingOrder="1"/>
    </xf>
    <xf numFmtId="0" fontId="19" fillId="0" borderId="35" xfId="0" applyFont="1" applyBorder="1" applyAlignment="1">
      <alignment horizontal="center" vertical="center" wrapText="1" readingOrder="1"/>
    </xf>
    <xf numFmtId="164" fontId="9" fillId="0" borderId="34" xfId="0" applyNumberFormat="1" applyFont="1" applyBorder="1" applyAlignment="1">
      <alignment horizontal="center" vertical="center" wrapText="1" readingOrder="1"/>
    </xf>
    <xf numFmtId="164" fontId="9" fillId="0" borderId="35" xfId="0" applyNumberFormat="1" applyFont="1" applyBorder="1" applyAlignment="1">
      <alignment horizontal="center" vertical="center" wrapText="1" readingOrder="1"/>
    </xf>
    <xf numFmtId="164" fontId="19" fillId="0" borderId="34" xfId="0" applyNumberFormat="1" applyFont="1" applyBorder="1" applyAlignment="1">
      <alignment horizontal="center" vertical="center" wrapText="1" readingOrder="1"/>
    </xf>
    <xf numFmtId="164" fontId="19" fillId="0" borderId="35" xfId="0" applyNumberFormat="1" applyFont="1" applyBorder="1" applyAlignment="1">
      <alignment horizontal="center" vertical="center" wrapText="1" readingOrder="1"/>
    </xf>
    <xf numFmtId="164" fontId="21" fillId="0" borderId="35" xfId="0" applyNumberFormat="1" applyFont="1" applyBorder="1" applyAlignment="1">
      <alignment horizontal="center" vertical="center" wrapText="1" readingOrder="1"/>
    </xf>
    <xf numFmtId="0" fontId="22" fillId="0" borderId="35" xfId="0" applyFont="1" applyBorder="1" applyAlignment="1">
      <alignment horizontal="center" vertical="center" wrapText="1" readingOrder="1"/>
    </xf>
    <xf numFmtId="10" fontId="20" fillId="0" borderId="35" xfId="0" applyNumberFormat="1" applyFont="1" applyBorder="1" applyAlignment="1">
      <alignment horizontal="center" vertical="center" wrapText="1" readingOrder="1"/>
    </xf>
    <xf numFmtId="0" fontId="54" fillId="0" borderId="0" xfId="0" applyFont="1"/>
    <xf numFmtId="0" fontId="7" fillId="0" borderId="34" xfId="0" quotePrefix="1" applyFont="1" applyBorder="1" applyAlignment="1">
      <alignment horizontal="center" vertical="center" wrapText="1" readingOrder="1"/>
    </xf>
    <xf numFmtId="0" fontId="7" fillId="0" borderId="35" xfId="0" quotePrefix="1" applyFont="1" applyBorder="1" applyAlignment="1">
      <alignment horizontal="center" vertical="center" wrapText="1" readingOrder="1"/>
    </xf>
    <xf numFmtId="0" fontId="7" fillId="0" borderId="35" xfId="0" applyFont="1" applyBorder="1" applyAlignment="1">
      <alignment vertical="center" wrapText="1" readingOrder="1"/>
    </xf>
    <xf numFmtId="0" fontId="21" fillId="0" borderId="34" xfId="0" applyFont="1" applyBorder="1" applyAlignment="1">
      <alignment horizontal="center" vertical="center" wrapText="1" readingOrder="1"/>
    </xf>
    <xf numFmtId="0" fontId="38" fillId="0" borderId="35" xfId="0" applyFont="1" applyBorder="1" applyAlignment="1">
      <alignment horizontal="center" vertical="center" wrapText="1" readingOrder="1"/>
    </xf>
    <xf numFmtId="0" fontId="21" fillId="0" borderId="35" xfId="0" applyFont="1" applyBorder="1" applyAlignment="1">
      <alignment horizontal="center" vertical="center" wrapText="1" readingOrder="1"/>
    </xf>
    <xf numFmtId="1" fontId="21" fillId="0" borderId="34" xfId="0" applyNumberFormat="1" applyFont="1" applyBorder="1" applyAlignment="1">
      <alignment horizontal="center" vertical="center" wrapText="1" readingOrder="1"/>
    </xf>
    <xf numFmtId="1" fontId="38" fillId="0" borderId="35" xfId="0" applyNumberFormat="1" applyFont="1" applyBorder="1" applyAlignment="1">
      <alignment horizontal="center" vertical="center" wrapText="1" readingOrder="1"/>
    </xf>
    <xf numFmtId="1" fontId="21" fillId="0" borderId="35" xfId="0" applyNumberFormat="1" applyFont="1" applyBorder="1" applyAlignment="1">
      <alignment horizontal="center" vertical="center" wrapText="1" readingOrder="1"/>
    </xf>
    <xf numFmtId="1" fontId="21" fillId="0" borderId="35" xfId="0" applyNumberFormat="1" applyFont="1" applyBorder="1" applyAlignment="1">
      <alignment horizontal="center"/>
    </xf>
    <xf numFmtId="0" fontId="2" fillId="3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readingOrder="1"/>
    </xf>
    <xf numFmtId="0" fontId="5" fillId="0" borderId="35" xfId="0" applyFont="1" applyBorder="1" applyAlignment="1">
      <alignment horizontal="center" vertical="center" wrapText="1" readingOrder="1"/>
    </xf>
    <xf numFmtId="0" fontId="21" fillId="0" borderId="36" xfId="0" applyFont="1" applyBorder="1" applyAlignment="1">
      <alignment horizontal="center" vertical="center" wrapText="1" readingOrder="1"/>
    </xf>
    <xf numFmtId="0" fontId="19" fillId="0" borderId="35" xfId="0" quotePrefix="1" applyFont="1" applyBorder="1" applyAlignment="1">
      <alignment horizontal="center" vertical="center" wrapText="1" readingOrder="1"/>
    </xf>
    <xf numFmtId="1" fontId="7" fillId="0" borderId="35" xfId="0" applyNumberFormat="1" applyFont="1" applyBorder="1" applyAlignment="1">
      <alignment horizontal="center" vertical="center" wrapText="1" readingOrder="1"/>
    </xf>
    <xf numFmtId="0" fontId="7" fillId="11" borderId="35" xfId="0" applyFont="1" applyFill="1" applyBorder="1" applyAlignment="1">
      <alignment horizontal="center" vertical="center" wrapText="1" readingOrder="1"/>
    </xf>
    <xf numFmtId="2" fontId="7" fillId="11" borderId="35" xfId="0" applyNumberFormat="1" applyFont="1" applyFill="1" applyBorder="1" applyAlignment="1">
      <alignment horizontal="center" vertical="center" wrapText="1" readingOrder="1"/>
    </xf>
    <xf numFmtId="2" fontId="19" fillId="0" borderId="35" xfId="0" applyNumberFormat="1" applyFont="1" applyBorder="1" applyAlignment="1">
      <alignment horizontal="center" vertical="center" wrapText="1" readingOrder="1"/>
    </xf>
    <xf numFmtId="2" fontId="22" fillId="0" borderId="35" xfId="0" applyNumberFormat="1" applyFont="1" applyBorder="1" applyAlignment="1">
      <alignment horizontal="center" vertical="center" wrapText="1" readingOrder="1"/>
    </xf>
    <xf numFmtId="2" fontId="5" fillId="0" borderId="35" xfId="0" applyNumberFormat="1" applyFont="1" applyBorder="1" applyAlignment="1">
      <alignment horizontal="center" vertical="center" wrapText="1" readingOrder="1"/>
    </xf>
    <xf numFmtId="16" fontId="7" fillId="0" borderId="35" xfId="0" quotePrefix="1" applyNumberFormat="1" applyFont="1" applyBorder="1" applyAlignment="1">
      <alignment horizontal="center" vertical="center" wrapText="1" readingOrder="1"/>
    </xf>
    <xf numFmtId="2" fontId="6" fillId="0" borderId="35" xfId="0" applyNumberFormat="1" applyFont="1" applyBorder="1" applyAlignment="1">
      <alignment horizontal="center" vertical="center" wrapText="1" readingOrder="1"/>
    </xf>
    <xf numFmtId="164" fontId="7" fillId="11" borderId="35" xfId="0" applyNumberFormat="1" applyFont="1" applyFill="1" applyBorder="1" applyAlignment="1">
      <alignment horizontal="center" vertical="center" wrapText="1" readingOrder="1"/>
    </xf>
    <xf numFmtId="164" fontId="7" fillId="0" borderId="34" xfId="1" applyNumberFormat="1" applyFont="1" applyFill="1" applyBorder="1" applyAlignment="1">
      <alignment horizontal="center" vertical="center" wrapText="1" readingOrder="1"/>
    </xf>
    <xf numFmtId="164" fontId="7" fillId="0" borderId="35" xfId="1" applyNumberFormat="1" applyFont="1" applyFill="1" applyBorder="1" applyAlignment="1">
      <alignment horizontal="center" vertical="center" wrapText="1" readingOrder="1"/>
    </xf>
    <xf numFmtId="9" fontId="7" fillId="0" borderId="34" xfId="0" applyNumberFormat="1" applyFont="1" applyBorder="1" applyAlignment="1">
      <alignment horizontal="center" vertical="center" wrapText="1" readingOrder="1"/>
    </xf>
    <xf numFmtId="9" fontId="7" fillId="0" borderId="35" xfId="0" applyNumberFormat="1" applyFont="1" applyBorder="1" applyAlignment="1">
      <alignment horizontal="center" vertical="center" wrapText="1" readingOrder="1"/>
    </xf>
    <xf numFmtId="164" fontId="12" fillId="0" borderId="35" xfId="0" applyNumberFormat="1" applyFont="1" applyBorder="1" applyAlignment="1">
      <alignment horizontal="center" vertical="center" wrapText="1" readingOrder="1"/>
    </xf>
    <xf numFmtId="0" fontId="4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 indent="2" readingOrder="1"/>
    </xf>
    <xf numFmtId="0" fontId="55" fillId="0" borderId="0" xfId="0" applyFont="1" applyAlignment="1">
      <alignment vertical="center"/>
    </xf>
    <xf numFmtId="0" fontId="35" fillId="12" borderId="37" xfId="0" applyFont="1" applyFill="1" applyBorder="1" applyAlignment="1">
      <alignment horizontal="center" vertical="center" wrapText="1"/>
    </xf>
    <xf numFmtId="0" fontId="35" fillId="12" borderId="38" xfId="0" applyFont="1" applyFill="1" applyBorder="1" applyAlignment="1">
      <alignment horizontal="center"/>
    </xf>
    <xf numFmtId="0" fontId="35" fillId="12" borderId="39" xfId="0" applyFont="1" applyFill="1" applyBorder="1" applyAlignment="1">
      <alignment horizontal="center"/>
    </xf>
    <xf numFmtId="0" fontId="35" fillId="12" borderId="40" xfId="0" applyFont="1" applyFill="1" applyBorder="1" applyAlignment="1">
      <alignment horizontal="center"/>
    </xf>
    <xf numFmtId="0" fontId="49" fillId="0" borderId="44" xfId="0" applyFont="1" applyBorder="1" applyAlignment="1">
      <alignment horizontal="left" vertical="center" wrapText="1"/>
    </xf>
    <xf numFmtId="0" fontId="13" fillId="3" borderId="45" xfId="0" applyFont="1" applyFill="1" applyBorder="1" applyAlignment="1">
      <alignment horizontal="center" vertical="center" wrapText="1" readingOrder="1"/>
    </xf>
    <xf numFmtId="0" fontId="13" fillId="3" borderId="46" xfId="0" applyFont="1" applyFill="1" applyBorder="1" applyAlignment="1">
      <alignment horizontal="center" vertical="center" wrapText="1" readingOrder="1"/>
    </xf>
    <xf numFmtId="0" fontId="13" fillId="4" borderId="50" xfId="0" applyFont="1" applyFill="1" applyBorder="1" applyAlignment="1">
      <alignment horizontal="center" vertical="center" wrapText="1" readingOrder="1"/>
    </xf>
    <xf numFmtId="0" fontId="13" fillId="4" borderId="51" xfId="0" applyFont="1" applyFill="1" applyBorder="1" applyAlignment="1">
      <alignment horizontal="center" vertical="center" wrapText="1" readingOrder="1"/>
    </xf>
    <xf numFmtId="0" fontId="47" fillId="11" borderId="44" xfId="0" applyFont="1" applyFill="1" applyBorder="1" applyAlignment="1">
      <alignment horizontal="left" vertical="center" wrapText="1" readingOrder="1"/>
    </xf>
    <xf numFmtId="0" fontId="13" fillId="5" borderId="50" xfId="0" applyFont="1" applyFill="1" applyBorder="1" applyAlignment="1">
      <alignment horizontal="center" vertical="center" wrapText="1" readingOrder="1"/>
    </xf>
    <xf numFmtId="0" fontId="13" fillId="5" borderId="51" xfId="0" applyFont="1" applyFill="1" applyBorder="1" applyAlignment="1">
      <alignment horizontal="center" vertical="center" wrapText="1" readingOrder="1"/>
    </xf>
    <xf numFmtId="0" fontId="13" fillId="6" borderId="50" xfId="0" applyFont="1" applyFill="1" applyBorder="1" applyAlignment="1">
      <alignment horizontal="center" vertical="center" wrapText="1" readingOrder="1"/>
    </xf>
    <xf numFmtId="0" fontId="13" fillId="6" borderId="51" xfId="0" applyFont="1" applyFill="1" applyBorder="1" applyAlignment="1">
      <alignment horizontal="center" vertical="center" wrapText="1" readingOrder="1"/>
    </xf>
    <xf numFmtId="0" fontId="13" fillId="7" borderId="50" xfId="0" applyFont="1" applyFill="1" applyBorder="1" applyAlignment="1">
      <alignment horizontal="center" vertical="center" wrapText="1" readingOrder="1"/>
    </xf>
    <xf numFmtId="0" fontId="13" fillId="7" borderId="51" xfId="0" applyFont="1" applyFill="1" applyBorder="1" applyAlignment="1">
      <alignment horizontal="center" vertical="center" wrapText="1" readingOrder="1"/>
    </xf>
    <xf numFmtId="0" fontId="47" fillId="14" borderId="49" xfId="0" applyFont="1" applyFill="1" applyBorder="1" applyAlignment="1">
      <alignment vertical="center" wrapText="1" readingOrder="1"/>
    </xf>
    <xf numFmtId="0" fontId="11" fillId="8" borderId="50" xfId="0" applyFont="1" applyFill="1" applyBorder="1" applyAlignment="1">
      <alignment horizontal="center" vertical="center" wrapText="1" readingOrder="1"/>
    </xf>
    <xf numFmtId="0" fontId="11" fillId="8" borderId="51" xfId="0" applyFont="1" applyFill="1" applyBorder="1" applyAlignment="1">
      <alignment horizontal="center" vertical="center" wrapText="1" readingOrder="1"/>
    </xf>
    <xf numFmtId="0" fontId="47" fillId="0" borderId="54" xfId="0" applyFont="1" applyBorder="1" applyAlignment="1">
      <alignment horizontal="left" vertical="center" wrapText="1" readingOrder="1"/>
    </xf>
    <xf numFmtId="9" fontId="5" fillId="0" borderId="0" xfId="0" applyNumberFormat="1" applyFont="1" applyAlignment="1">
      <alignment horizontal="center" vertical="center" wrapText="1" readingOrder="1"/>
    </xf>
    <xf numFmtId="10" fontId="6" fillId="0" borderId="0" xfId="0" applyNumberFormat="1" applyFont="1" applyAlignment="1">
      <alignment horizontal="center" vertical="center" wrapText="1" readingOrder="1"/>
    </xf>
    <xf numFmtId="0" fontId="1" fillId="13" borderId="24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1" fillId="13" borderId="10" xfId="0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0" fontId="25" fillId="0" borderId="0" xfId="0" applyFont="1" applyAlignment="1">
      <alignment horizontal="center" vertical="center" wrapText="1" readingOrder="1"/>
    </xf>
    <xf numFmtId="43" fontId="19" fillId="0" borderId="34" xfId="2" applyFont="1" applyBorder="1" applyAlignment="1">
      <alignment horizontal="center" vertical="center" wrapText="1" readingOrder="1"/>
    </xf>
    <xf numFmtId="8" fontId="19" fillId="0" borderId="35" xfId="0" applyNumberFormat="1" applyFont="1" applyBorder="1" applyAlignment="1">
      <alignment horizontal="center" vertical="center" wrapText="1" readingOrder="1"/>
    </xf>
    <xf numFmtId="9" fontId="7" fillId="0" borderId="34" xfId="1" applyFont="1" applyBorder="1" applyAlignment="1">
      <alignment horizontal="center" vertical="center" wrapText="1" readingOrder="1"/>
    </xf>
    <xf numFmtId="2" fontId="7" fillId="0" borderId="35" xfId="1" applyNumberFormat="1" applyFont="1" applyBorder="1" applyAlignment="1">
      <alignment horizontal="center" vertical="center" wrapText="1" readingOrder="1"/>
    </xf>
    <xf numFmtId="9" fontId="7" fillId="0" borderId="35" xfId="1" applyFont="1" applyBorder="1" applyAlignment="1">
      <alignment horizontal="center" vertical="center" wrapText="1" readingOrder="1"/>
    </xf>
    <xf numFmtId="9" fontId="5" fillId="0" borderId="35" xfId="1" applyFont="1" applyBorder="1" applyAlignment="1">
      <alignment horizontal="center" vertical="center" wrapText="1" readingOrder="1"/>
    </xf>
    <xf numFmtId="9" fontId="19" fillId="0" borderId="35" xfId="1" applyFont="1" applyBorder="1" applyAlignment="1">
      <alignment horizontal="center" vertical="center" wrapText="1" readingOrder="1"/>
    </xf>
    <xf numFmtId="9" fontId="7" fillId="0" borderId="35" xfId="1" applyFont="1" applyFill="1" applyBorder="1" applyAlignment="1">
      <alignment horizontal="center" vertical="center" wrapText="1" readingOrder="1"/>
    </xf>
    <xf numFmtId="9" fontId="5" fillId="0" borderId="35" xfId="1" applyFont="1" applyFill="1" applyBorder="1" applyAlignment="1">
      <alignment horizontal="center" vertical="center" wrapText="1" readingOrder="1"/>
    </xf>
    <xf numFmtId="9" fontId="19" fillId="0" borderId="35" xfId="1" applyFont="1" applyFill="1" applyBorder="1" applyAlignment="1">
      <alignment horizontal="center" vertical="center" wrapText="1" readingOrder="1"/>
    </xf>
    <xf numFmtId="0" fontId="2" fillId="4" borderId="56" xfId="0" applyFont="1" applyFill="1" applyBorder="1" applyAlignment="1">
      <alignment vertical="center" wrapText="1" readingOrder="1"/>
    </xf>
    <xf numFmtId="0" fontId="7" fillId="0" borderId="56" xfId="0" applyFont="1" applyBorder="1" applyAlignment="1">
      <alignment horizontal="center" vertical="center" wrapText="1" readingOrder="1"/>
    </xf>
    <xf numFmtId="0" fontId="7" fillId="0" borderId="57" xfId="0" applyFont="1" applyBorder="1" applyAlignment="1">
      <alignment horizontal="center" vertical="center" wrapText="1" readingOrder="1"/>
    </xf>
    <xf numFmtId="2" fontId="14" fillId="0" borderId="57" xfId="0" applyNumberFormat="1" applyFont="1" applyBorder="1" applyAlignment="1">
      <alignment horizontal="center" vertical="center" wrapText="1" readingOrder="1"/>
    </xf>
    <xf numFmtId="0" fontId="2" fillId="5" borderId="56" xfId="0" applyFont="1" applyFill="1" applyBorder="1" applyAlignment="1">
      <alignment vertical="center" wrapText="1" readingOrder="1"/>
    </xf>
    <xf numFmtId="0" fontId="17" fillId="0" borderId="56" xfId="0" applyFont="1" applyBorder="1" applyAlignment="1">
      <alignment horizontal="center" vertical="center" wrapText="1" readingOrder="1"/>
    </xf>
    <xf numFmtId="0" fontId="3" fillId="6" borderId="56" xfId="0" applyFont="1" applyFill="1" applyBorder="1" applyAlignment="1">
      <alignment vertical="center" wrapText="1" readingOrder="1"/>
    </xf>
    <xf numFmtId="2" fontId="14" fillId="0" borderId="56" xfId="0" applyNumberFormat="1" applyFont="1" applyBorder="1" applyAlignment="1">
      <alignment horizontal="center" vertical="center" wrapText="1" readingOrder="1"/>
    </xf>
    <xf numFmtId="0" fontId="3" fillId="7" borderId="56" xfId="0" applyFont="1" applyFill="1" applyBorder="1" applyAlignment="1">
      <alignment vertical="center" wrapText="1" readingOrder="1"/>
    </xf>
    <xf numFmtId="49" fontId="7" fillId="0" borderId="35" xfId="0" applyNumberFormat="1" applyFont="1" applyBorder="1" applyAlignment="1">
      <alignment horizontal="center" vertical="center" wrapText="1" readingOrder="1"/>
    </xf>
    <xf numFmtId="0" fontId="7" fillId="0" borderId="58" xfId="0" applyFont="1" applyBorder="1" applyAlignment="1">
      <alignment horizontal="center" vertical="center" wrapText="1" readingOrder="1"/>
    </xf>
    <xf numFmtId="16" fontId="19" fillId="0" borderId="35" xfId="0" quotePrefix="1" applyNumberFormat="1" applyFont="1" applyBorder="1" applyAlignment="1">
      <alignment horizontal="center" vertical="center" wrapText="1" readingOrder="1"/>
    </xf>
    <xf numFmtId="49" fontId="7" fillId="0" borderId="35" xfId="0" quotePrefix="1" applyNumberFormat="1" applyFont="1" applyBorder="1" applyAlignment="1">
      <alignment horizontal="center" vertical="center" wrapText="1" readingOrder="1"/>
    </xf>
    <xf numFmtId="2" fontId="27" fillId="0" borderId="35" xfId="0" applyNumberFormat="1" applyFont="1" applyBorder="1" applyAlignment="1">
      <alignment horizontal="center" vertical="center" wrapText="1" readingOrder="1"/>
    </xf>
    <xf numFmtId="0" fontId="41" fillId="0" borderId="59" xfId="0" applyFont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8" fillId="16" borderId="0" xfId="0" applyFont="1" applyFill="1" applyAlignment="1">
      <alignment horizontal="left" vertical="center" wrapText="1" readingOrder="1"/>
    </xf>
    <xf numFmtId="9" fontId="56" fillId="16" borderId="0" xfId="1" applyFont="1" applyFill="1" applyAlignment="1">
      <alignment horizontal="center" vertical="center"/>
    </xf>
    <xf numFmtId="2" fontId="42" fillId="16" borderId="0" xfId="0" applyNumberFormat="1" applyFont="1" applyFill="1" applyAlignment="1">
      <alignment horizontal="center" vertical="center" wrapText="1" readingOrder="1"/>
    </xf>
    <xf numFmtId="0" fontId="57" fillId="0" borderId="0" xfId="0" applyFont="1"/>
    <xf numFmtId="0" fontId="57" fillId="0" borderId="0" xfId="0" applyFont="1" applyAlignment="1">
      <alignment horizontal="left"/>
    </xf>
    <xf numFmtId="165" fontId="7" fillId="0" borderId="0" xfId="0" applyNumberFormat="1" applyFont="1" applyAlignment="1">
      <alignment horizontal="center" vertical="center" wrapText="1" readingOrder="1"/>
    </xf>
    <xf numFmtId="10" fontId="7" fillId="0" borderId="0" xfId="0" applyNumberFormat="1" applyFont="1" applyAlignment="1">
      <alignment horizontal="center" vertical="center" wrapText="1" readingOrder="1"/>
    </xf>
    <xf numFmtId="164" fontId="4" fillId="0" borderId="0" xfId="1" applyNumberFormat="1" applyFont="1" applyFill="1" applyBorder="1" applyAlignment="1">
      <alignment horizontal="center" vertical="center" wrapText="1" readingOrder="1"/>
    </xf>
    <xf numFmtId="9" fontId="7" fillId="0" borderId="0" xfId="1" applyFont="1" applyFill="1" applyAlignment="1">
      <alignment horizontal="center" vertical="center" wrapText="1" readingOrder="1"/>
    </xf>
    <xf numFmtId="3" fontId="7" fillId="0" borderId="0" xfId="0" quotePrefix="1" applyNumberFormat="1" applyFont="1" applyAlignment="1">
      <alignment horizontal="center" vertical="center" wrapText="1" readingOrder="1"/>
    </xf>
    <xf numFmtId="3" fontId="52" fillId="0" borderId="0" xfId="0" applyNumberFormat="1" applyFont="1" applyAlignment="1">
      <alignment horizontal="center" vertical="center" wrapText="1" readingOrder="1"/>
    </xf>
    <xf numFmtId="2" fontId="58" fillId="0" borderId="0" xfId="0" applyNumberFormat="1" applyFont="1" applyAlignment="1">
      <alignment horizontal="center" vertical="center" wrapText="1" readingOrder="1"/>
    </xf>
    <xf numFmtId="9" fontId="6" fillId="0" borderId="0" xfId="1" applyFont="1" applyFill="1" applyAlignment="1">
      <alignment horizontal="center" vertical="center" wrapText="1" readingOrder="1"/>
    </xf>
    <xf numFmtId="9" fontId="5" fillId="0" borderId="0" xfId="1" applyFont="1" applyFill="1" applyAlignment="1">
      <alignment horizontal="center" vertical="center" wrapText="1" readingOrder="1"/>
    </xf>
    <xf numFmtId="0" fontId="59" fillId="0" borderId="0" xfId="0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9" fontId="5" fillId="0" borderId="16" xfId="0" applyNumberFormat="1" applyFont="1" applyBorder="1" applyAlignment="1">
      <alignment horizontal="center" vertical="center" wrapText="1" readingOrder="1"/>
    </xf>
    <xf numFmtId="9" fontId="5" fillId="0" borderId="16" xfId="1" applyFont="1" applyBorder="1" applyAlignment="1">
      <alignment horizontal="center" vertical="center" wrapText="1" readingOrder="1"/>
    </xf>
    <xf numFmtId="164" fontId="20" fillId="0" borderId="35" xfId="0" applyNumberFormat="1" applyFont="1" applyBorder="1" applyAlignment="1">
      <alignment horizontal="center" vertical="center" wrapText="1" readingOrder="1"/>
    </xf>
    <xf numFmtId="0" fontId="41" fillId="0" borderId="59" xfId="0" applyFont="1" applyBorder="1" applyAlignment="1">
      <alignment horizontal="left" vertical="center"/>
    </xf>
    <xf numFmtId="2" fontId="7" fillId="0" borderId="34" xfId="0" quotePrefix="1" applyNumberFormat="1" applyFont="1" applyBorder="1" applyAlignment="1">
      <alignment horizontal="center" vertical="center" wrapText="1" readingOrder="1"/>
    </xf>
    <xf numFmtId="0" fontId="61" fillId="0" borderId="0" xfId="0" applyFont="1" applyAlignment="1">
      <alignment horizontal="center" vertical="center" wrapText="1" readingOrder="1"/>
    </xf>
    <xf numFmtId="2" fontId="7" fillId="0" borderId="35" xfId="0" applyNumberFormat="1" applyFont="1" applyBorder="1" applyAlignment="1">
      <alignment horizontal="center" vertical="center" readingOrder="1"/>
    </xf>
    <xf numFmtId="9" fontId="52" fillId="0" borderId="0" xfId="1" applyFont="1" applyAlignment="1">
      <alignment horizontal="center" vertical="center" wrapText="1" readingOrder="1"/>
    </xf>
    <xf numFmtId="9" fontId="52" fillId="0" borderId="0" xfId="1" applyFont="1" applyAlignment="1">
      <alignment horizontal="center" vertical="center" readingOrder="1"/>
    </xf>
    <xf numFmtId="2" fontId="59" fillId="0" borderId="0" xfId="0" applyNumberFormat="1" applyFont="1" applyAlignment="1">
      <alignment horizontal="center" vertical="center" wrapText="1" readingOrder="1"/>
    </xf>
    <xf numFmtId="166" fontId="52" fillId="0" borderId="0" xfId="0" applyNumberFormat="1" applyFont="1" applyAlignment="1">
      <alignment horizontal="center" vertical="center" wrapText="1" readingOrder="1"/>
    </xf>
    <xf numFmtId="2" fontId="59" fillId="0" borderId="35" xfId="0" applyNumberFormat="1" applyFont="1" applyBorder="1" applyAlignment="1">
      <alignment horizontal="center" vertical="center" wrapText="1" readingOrder="1"/>
    </xf>
    <xf numFmtId="0" fontId="62" fillId="0" borderId="35" xfId="0" applyFont="1" applyBorder="1" applyAlignment="1">
      <alignment horizontal="center" vertical="center" wrapText="1" readingOrder="1"/>
    </xf>
    <xf numFmtId="2" fontId="58" fillId="0" borderId="35" xfId="0" applyNumberFormat="1" applyFont="1" applyBorder="1" applyAlignment="1">
      <alignment horizontal="center" vertical="center" wrapText="1" readingOrder="1"/>
    </xf>
    <xf numFmtId="0" fontId="62" fillId="0" borderId="0" xfId="0" applyFont="1" applyAlignment="1">
      <alignment horizontal="center" vertical="center" wrapText="1" readingOrder="1"/>
    </xf>
    <xf numFmtId="164" fontId="62" fillId="0" borderId="0" xfId="0" applyNumberFormat="1" applyFont="1" applyAlignment="1">
      <alignment horizontal="center" vertical="center" wrapText="1" readingOrder="1"/>
    </xf>
    <xf numFmtId="164" fontId="63" fillId="0" borderId="0" xfId="0" applyNumberFormat="1" applyFont="1" applyAlignment="1">
      <alignment horizontal="center" vertical="center" wrapText="1" readingOrder="1"/>
    </xf>
    <xf numFmtId="166" fontId="64" fillId="0" borderId="0" xfId="0" applyNumberFormat="1" applyFont="1" applyAlignment="1">
      <alignment horizontal="center" vertical="center" wrapText="1" readingOrder="1"/>
    </xf>
    <xf numFmtId="0" fontId="65" fillId="0" borderId="44" xfId="0" applyFont="1" applyBorder="1" applyAlignment="1">
      <alignment vertical="center" wrapText="1" readingOrder="1"/>
    </xf>
    <xf numFmtId="0" fontId="65" fillId="0" borderId="43" xfId="0" applyFont="1" applyBorder="1" applyAlignment="1">
      <alignment horizontal="left" vertical="center" wrapText="1" readingOrder="1"/>
    </xf>
    <xf numFmtId="0" fontId="66" fillId="11" borderId="27" xfId="0" applyFont="1" applyFill="1" applyBorder="1" applyAlignment="1">
      <alignment horizontal="center" vertical="center" wrapText="1" readingOrder="1"/>
    </xf>
    <xf numFmtId="0" fontId="66" fillId="14" borderId="27" xfId="0" applyFont="1" applyFill="1" applyBorder="1" applyAlignment="1">
      <alignment horizontal="left" vertical="center" wrapText="1" readingOrder="1"/>
    </xf>
    <xf numFmtId="0" fontId="66" fillId="11" borderId="28" xfId="0" applyFont="1" applyFill="1" applyBorder="1" applyAlignment="1">
      <alignment horizontal="center" vertical="center" wrapText="1" readingOrder="1"/>
    </xf>
    <xf numFmtId="0" fontId="66" fillId="14" borderId="28" xfId="0" applyFont="1" applyFill="1" applyBorder="1" applyAlignment="1">
      <alignment horizontal="left" vertical="center" wrapText="1" readingOrder="1"/>
    </xf>
    <xf numFmtId="17" fontId="48" fillId="0" borderId="28" xfId="0" applyNumberFormat="1" applyFont="1" applyBorder="1" applyAlignment="1">
      <alignment horizontal="center" vertical="center" wrapText="1" readingOrder="1"/>
    </xf>
    <xf numFmtId="17" fontId="67" fillId="0" borderId="28" xfId="0" applyNumberFormat="1" applyFont="1" applyBorder="1" applyAlignment="1">
      <alignment horizontal="center" vertical="center" wrapText="1" readingOrder="1"/>
    </xf>
    <xf numFmtId="0" fontId="68" fillId="0" borderId="0" xfId="0" applyFont="1"/>
    <xf numFmtId="9" fontId="63" fillId="0" borderId="0" xfId="0" applyNumberFormat="1" applyFont="1" applyAlignment="1">
      <alignment horizontal="center" vertical="center" wrapText="1" readingOrder="1"/>
    </xf>
    <xf numFmtId="9" fontId="59" fillId="0" borderId="0" xfId="0" applyNumberFormat="1" applyFont="1" applyAlignment="1">
      <alignment horizontal="center" vertical="center" wrapText="1" readingOrder="1"/>
    </xf>
    <xf numFmtId="9" fontId="19" fillId="0" borderId="0" xfId="0" applyNumberFormat="1" applyFont="1" applyAlignment="1">
      <alignment horizontal="center" vertical="center" wrapText="1" readingOrder="1"/>
    </xf>
    <xf numFmtId="9" fontId="4" fillId="0" borderId="0" xfId="0" applyNumberFormat="1" applyFont="1" applyAlignment="1">
      <alignment horizontal="center" vertical="center" wrapText="1" readingOrder="1"/>
    </xf>
    <xf numFmtId="9" fontId="14" fillId="0" borderId="0" xfId="0" applyNumberFormat="1" applyFont="1" applyAlignment="1">
      <alignment horizontal="center" vertical="center" wrapText="1" readingOrder="1"/>
    </xf>
    <xf numFmtId="9" fontId="59" fillId="0" borderId="0" xfId="1" applyFont="1" applyFill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 readingOrder="1"/>
    </xf>
    <xf numFmtId="0" fontId="69" fillId="0" borderId="0" xfId="0" applyFont="1"/>
    <xf numFmtId="0" fontId="2" fillId="6" borderId="0" xfId="0" applyFont="1" applyFill="1" applyAlignment="1">
      <alignment horizontal="center" vertical="center" readingOrder="1"/>
    </xf>
    <xf numFmtId="0" fontId="59" fillId="0" borderId="35" xfId="0" applyFont="1" applyBorder="1" applyAlignment="1">
      <alignment horizontal="center" vertical="center" wrapText="1" readingOrder="1"/>
    </xf>
    <xf numFmtId="0" fontId="33" fillId="12" borderId="2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 indent="1" readingOrder="1"/>
    </xf>
    <xf numFmtId="164" fontId="4" fillId="0" borderId="16" xfId="0" applyNumberFormat="1" applyFont="1" applyBorder="1" applyAlignment="1">
      <alignment horizontal="center" vertical="center" wrapText="1" readingOrder="1"/>
    </xf>
    <xf numFmtId="0" fontId="75" fillId="5" borderId="0" xfId="0" applyFont="1" applyFill="1" applyAlignment="1">
      <alignment horizontal="center" vertical="center" wrapText="1" readingOrder="1"/>
    </xf>
    <xf numFmtId="0" fontId="74" fillId="5" borderId="12" xfId="0" applyFont="1" applyFill="1" applyBorder="1" applyAlignment="1">
      <alignment vertical="center" wrapText="1" readingOrder="1"/>
    </xf>
    <xf numFmtId="0" fontId="75" fillId="5" borderId="0" xfId="0" applyFont="1" applyFill="1" applyAlignment="1">
      <alignment vertical="center" wrapText="1" readingOrder="1"/>
    </xf>
    <xf numFmtId="0" fontId="75" fillId="5" borderId="0" xfId="0" applyFont="1" applyFill="1" applyAlignment="1">
      <alignment vertical="center" readingOrder="1"/>
    </xf>
    <xf numFmtId="0" fontId="73" fillId="5" borderId="0" xfId="0" applyFont="1" applyFill="1" applyAlignment="1">
      <alignment vertical="center" wrapText="1" readingOrder="1"/>
    </xf>
    <xf numFmtId="1" fontId="76" fillId="0" borderId="35" xfId="0" applyNumberFormat="1" applyFont="1" applyBorder="1" applyAlignment="1">
      <alignment horizontal="center" vertical="center" wrapText="1" readingOrder="1"/>
    </xf>
    <xf numFmtId="0" fontId="61" fillId="0" borderId="56" xfId="0" applyFont="1" applyBorder="1" applyAlignment="1">
      <alignment horizontal="center" vertical="center" wrapText="1" readingOrder="1"/>
    </xf>
    <xf numFmtId="0" fontId="78" fillId="0" borderId="35" xfId="0" applyFont="1" applyBorder="1" applyAlignment="1">
      <alignment horizontal="center" vertical="center" wrapText="1" readingOrder="1"/>
    </xf>
    <xf numFmtId="0" fontId="66" fillId="0" borderId="28" xfId="0" applyFont="1" applyBorder="1" applyAlignment="1">
      <alignment horizontal="left" vertical="center" wrapText="1" readingOrder="1"/>
    </xf>
    <xf numFmtId="0" fontId="64" fillId="0" borderId="0" xfId="0" applyFont="1" applyAlignment="1">
      <alignment horizontal="center" vertical="center" wrapText="1" readingOrder="1"/>
    </xf>
    <xf numFmtId="0" fontId="59" fillId="0" borderId="16" xfId="0" applyFont="1" applyBorder="1" applyAlignment="1">
      <alignment vertical="center" wrapText="1" readingOrder="1"/>
    </xf>
    <xf numFmtId="0" fontId="60" fillId="0" borderId="0" xfId="0" applyFont="1" applyAlignment="1">
      <alignment horizontal="left" vertical="center" wrapText="1" readingOrder="1"/>
    </xf>
    <xf numFmtId="2" fontId="78" fillId="0" borderId="0" xfId="0" applyNumberFormat="1" applyFont="1" applyAlignment="1">
      <alignment horizontal="center" vertical="center" wrapText="1" readingOrder="1"/>
    </xf>
    <xf numFmtId="10" fontId="0" fillId="16" borderId="0" xfId="0" applyNumberFormat="1" applyFill="1" applyAlignment="1">
      <alignment horizontal="center" vertical="center"/>
    </xf>
    <xf numFmtId="0" fontId="80" fillId="16" borderId="0" xfId="0" applyFont="1" applyFill="1" applyAlignment="1">
      <alignment horizontal="left" vertical="center" wrapText="1" readingOrder="1"/>
    </xf>
    <xf numFmtId="9" fontId="79" fillId="16" borderId="0" xfId="1" applyFont="1" applyFill="1" applyAlignment="1">
      <alignment horizontal="center" vertical="center"/>
    </xf>
    <xf numFmtId="0" fontId="74" fillId="8" borderId="0" xfId="0" applyFont="1" applyFill="1" applyAlignment="1">
      <alignment vertical="center" readingOrder="1"/>
    </xf>
    <xf numFmtId="0" fontId="74" fillId="7" borderId="0" xfId="0" applyFont="1" applyFill="1" applyAlignment="1">
      <alignment vertical="center" readingOrder="1"/>
    </xf>
    <xf numFmtId="9" fontId="59" fillId="0" borderId="0" xfId="1" applyFont="1" applyAlignment="1">
      <alignment horizontal="center" vertical="center" wrapText="1" readingOrder="1"/>
    </xf>
    <xf numFmtId="0" fontId="75" fillId="6" borderId="0" xfId="0" applyFont="1" applyFill="1" applyAlignment="1">
      <alignment vertical="center" readingOrder="1"/>
    </xf>
    <xf numFmtId="1" fontId="77" fillId="0" borderId="0" xfId="0" applyNumberFormat="1" applyFont="1" applyAlignment="1">
      <alignment horizontal="center" vertical="center" wrapText="1" readingOrder="1"/>
    </xf>
    <xf numFmtId="164" fontId="59" fillId="0" borderId="0" xfId="0" applyNumberFormat="1" applyFont="1" applyAlignment="1">
      <alignment horizontal="center" vertical="center" wrapText="1" readingOrder="1"/>
    </xf>
    <xf numFmtId="0" fontId="75" fillId="4" borderId="0" xfId="0" applyFont="1" applyFill="1" applyAlignment="1">
      <alignment vertical="center" readingOrder="1"/>
    </xf>
    <xf numFmtId="0" fontId="81" fillId="13" borderId="0" xfId="0" applyFont="1" applyFill="1" applyAlignment="1">
      <alignment vertical="center" wrapText="1"/>
    </xf>
    <xf numFmtId="0" fontId="82" fillId="12" borderId="0" xfId="0" applyFont="1" applyFill="1" applyAlignment="1">
      <alignment horizontal="left" vertical="center" readingOrder="1"/>
    </xf>
    <xf numFmtId="0" fontId="80" fillId="0" borderId="0" xfId="0" applyFont="1" applyAlignment="1">
      <alignment vertical="center" wrapText="1"/>
    </xf>
    <xf numFmtId="0" fontId="75" fillId="10" borderId="2" xfId="0" applyFont="1" applyFill="1" applyBorder="1" applyAlignment="1">
      <alignment horizontal="center" vertical="center" wrapText="1" readingOrder="1"/>
    </xf>
    <xf numFmtId="3" fontId="59" fillId="0" borderId="0" xfId="0" quotePrefix="1" applyNumberFormat="1" applyFont="1" applyAlignment="1">
      <alignment horizontal="center" vertical="center" wrapText="1" readingOrder="1"/>
    </xf>
    <xf numFmtId="0" fontId="64" fillId="17" borderId="0" xfId="0" applyFont="1" applyFill="1" applyAlignment="1">
      <alignment horizontal="center" vertical="center" wrapText="1" readingOrder="1"/>
    </xf>
    <xf numFmtId="0" fontId="83" fillId="4" borderId="0" xfId="0" applyFont="1" applyFill="1" applyAlignment="1">
      <alignment horizontal="center" vertical="center" wrapText="1" readingOrder="1"/>
    </xf>
    <xf numFmtId="0" fontId="83" fillId="5" borderId="0" xfId="0" applyFont="1" applyFill="1" applyAlignment="1">
      <alignment horizontal="center" vertical="center" wrapText="1" readingOrder="1"/>
    </xf>
    <xf numFmtId="0" fontId="83" fillId="6" borderId="0" xfId="0" applyFont="1" applyFill="1" applyAlignment="1">
      <alignment horizontal="center" vertical="center" wrapText="1" readingOrder="1"/>
    </xf>
    <xf numFmtId="0" fontId="84" fillId="7" borderId="0" xfId="0" applyFont="1" applyFill="1" applyAlignment="1">
      <alignment horizontal="center" vertical="center" wrapText="1" readingOrder="1"/>
    </xf>
    <xf numFmtId="8" fontId="64" fillId="0" borderId="0" xfId="0" applyNumberFormat="1" applyFont="1" applyAlignment="1">
      <alignment horizontal="center" vertical="center" wrapText="1" readingOrder="1"/>
    </xf>
    <xf numFmtId="0" fontId="84" fillId="8" borderId="0" xfId="0" applyFont="1" applyFill="1" applyAlignment="1">
      <alignment horizontal="center" vertical="center" wrapText="1" readingOrder="1"/>
    </xf>
    <xf numFmtId="10" fontId="64" fillId="0" borderId="0" xfId="0" applyNumberFormat="1" applyFont="1" applyAlignment="1">
      <alignment horizontal="center" vertical="center" wrapText="1" readingOrder="1"/>
    </xf>
    <xf numFmtId="164" fontId="64" fillId="0" borderId="0" xfId="0" applyNumberFormat="1" applyFont="1" applyAlignment="1">
      <alignment horizontal="center" vertical="center" wrapText="1" readingOrder="1"/>
    </xf>
    <xf numFmtId="8" fontId="64" fillId="17" borderId="0" xfId="0" applyNumberFormat="1" applyFont="1" applyFill="1" applyAlignment="1">
      <alignment horizontal="center" vertical="center" wrapText="1" readingOrder="1"/>
    </xf>
    <xf numFmtId="9" fontId="79" fillId="16" borderId="0" xfId="0" applyNumberFormat="1" applyFont="1" applyFill="1" applyAlignment="1">
      <alignment horizontal="center" vertical="center"/>
    </xf>
    <xf numFmtId="0" fontId="86" fillId="0" borderId="0" xfId="0" applyFont="1" applyAlignment="1">
      <alignment vertical="center"/>
    </xf>
    <xf numFmtId="9" fontId="56" fillId="16" borderId="0" xfId="0" applyNumberFormat="1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2" fontId="7" fillId="16" borderId="0" xfId="0" applyNumberFormat="1" applyFont="1" applyFill="1" applyAlignment="1">
      <alignment horizontal="center" vertical="center" wrapText="1" readingOrder="1"/>
    </xf>
    <xf numFmtId="2" fontId="59" fillId="16" borderId="0" xfId="0" applyNumberFormat="1" applyFont="1" applyFill="1" applyAlignment="1">
      <alignment horizontal="center" vertical="center" wrapText="1" readingOrder="1"/>
    </xf>
    <xf numFmtId="9" fontId="79" fillId="0" borderId="0" xfId="0" applyNumberFormat="1" applyFont="1" applyAlignment="1">
      <alignment horizontal="center" vertical="center"/>
    </xf>
    <xf numFmtId="0" fontId="0" fillId="16" borderId="0" xfId="0" applyFill="1"/>
    <xf numFmtId="0" fontId="75" fillId="2" borderId="0" xfId="0" applyFont="1" applyFill="1" applyAlignment="1">
      <alignment horizontal="center" vertical="center" wrapText="1" readingOrder="1"/>
    </xf>
    <xf numFmtId="0" fontId="34" fillId="0" borderId="35" xfId="0" applyFont="1" applyBorder="1" applyAlignment="1">
      <alignment horizontal="center" vertical="center" wrapText="1" readingOrder="1"/>
    </xf>
    <xf numFmtId="0" fontId="87" fillId="8" borderId="0" xfId="0" applyFont="1" applyFill="1" applyAlignment="1">
      <alignment horizontal="center" vertical="center" wrapText="1" readingOrder="1"/>
    </xf>
    <xf numFmtId="0" fontId="82" fillId="0" borderId="35" xfId="0" applyFont="1" applyBorder="1" applyAlignment="1">
      <alignment horizontal="center" vertical="center" wrapText="1" readingOrder="1"/>
    </xf>
    <xf numFmtId="0" fontId="88" fillId="8" borderId="0" xfId="0" applyFont="1" applyFill="1" applyAlignment="1">
      <alignment horizontal="center" vertical="center" wrapText="1" readingOrder="1"/>
    </xf>
    <xf numFmtId="0" fontId="60" fillId="14" borderId="0" xfId="0" applyFont="1" applyFill="1" applyAlignment="1">
      <alignment horizontal="left" vertical="center" wrapText="1" readingOrder="1"/>
    </xf>
    <xf numFmtId="0" fontId="43" fillId="12" borderId="22" xfId="0" applyFont="1" applyFill="1" applyBorder="1" applyAlignment="1">
      <alignment vertical="center" wrapText="1"/>
    </xf>
    <xf numFmtId="164" fontId="52" fillId="0" borderId="0" xfId="0" applyNumberFormat="1" applyFont="1" applyAlignment="1">
      <alignment horizontal="center" vertical="center" readingOrder="1"/>
    </xf>
    <xf numFmtId="0" fontId="74" fillId="8" borderId="0" xfId="0" applyFont="1" applyFill="1" applyAlignment="1">
      <alignment horizontal="center" vertical="center" wrapText="1" readingOrder="1"/>
    </xf>
    <xf numFmtId="0" fontId="74" fillId="7" borderId="0" xfId="0" applyFont="1" applyFill="1" applyAlignment="1">
      <alignment horizontal="center" vertical="center" wrapText="1" readingOrder="1"/>
    </xf>
    <xf numFmtId="0" fontId="75" fillId="6" borderId="0" xfId="0" applyFont="1" applyFill="1" applyAlignment="1">
      <alignment horizontal="center" vertical="center" wrapText="1" readingOrder="1"/>
    </xf>
    <xf numFmtId="0" fontId="75" fillId="4" borderId="0" xfId="0" applyFont="1" applyFill="1" applyAlignment="1">
      <alignment horizontal="center" vertical="center" wrapText="1" readingOrder="1"/>
    </xf>
    <xf numFmtId="0" fontId="89" fillId="16" borderId="0" xfId="0" applyFont="1" applyFill="1" applyAlignment="1">
      <alignment horizontal="left" vertical="center" wrapText="1" readingOrder="1"/>
    </xf>
    <xf numFmtId="0" fontId="90" fillId="0" borderId="0" xfId="0" applyFont="1" applyAlignment="1">
      <alignment horizontal="center"/>
    </xf>
    <xf numFmtId="0" fontId="73" fillId="2" borderId="7" xfId="0" applyFont="1" applyFill="1" applyBorder="1" applyAlignment="1">
      <alignment horizontal="center" vertical="center" wrapText="1" readingOrder="1"/>
    </xf>
    <xf numFmtId="0" fontId="91" fillId="4" borderId="0" xfId="0" applyFont="1" applyFill="1" applyAlignment="1">
      <alignment horizontal="center" vertical="center" wrapText="1" readingOrder="1"/>
    </xf>
    <xf numFmtId="0" fontId="91" fillId="5" borderId="0" xfId="0" applyFont="1" applyFill="1" applyAlignment="1">
      <alignment horizontal="center" vertical="center" wrapText="1" readingOrder="1"/>
    </xf>
    <xf numFmtId="0" fontId="91" fillId="6" borderId="0" xfId="0" applyFont="1" applyFill="1" applyAlignment="1">
      <alignment horizontal="center" vertical="center" wrapText="1" readingOrder="1"/>
    </xf>
    <xf numFmtId="0" fontId="64" fillId="7" borderId="0" xfId="0" applyFont="1" applyFill="1" applyAlignment="1">
      <alignment horizontal="center" vertical="center" wrapText="1" readingOrder="1"/>
    </xf>
    <xf numFmtId="0" fontId="64" fillId="8" borderId="0" xfId="0" applyFont="1" applyFill="1" applyAlignment="1">
      <alignment horizontal="center" vertical="center" wrapText="1" readingOrder="1"/>
    </xf>
    <xf numFmtId="0" fontId="92" fillId="0" borderId="0" xfId="0" applyFont="1"/>
    <xf numFmtId="3" fontId="64" fillId="0" borderId="0" xfId="0" applyNumberFormat="1" applyFont="1" applyAlignment="1">
      <alignment horizontal="center" vertical="center" wrapText="1" readingOrder="1"/>
    </xf>
    <xf numFmtId="0" fontId="60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 indent="1" readingOrder="1"/>
    </xf>
    <xf numFmtId="2" fontId="7" fillId="0" borderId="61" xfId="0" applyNumberFormat="1" applyFont="1" applyBorder="1" applyAlignment="1">
      <alignment horizontal="center" vertical="center" wrapText="1" readingOrder="1"/>
    </xf>
    <xf numFmtId="0" fontId="77" fillId="0" borderId="34" xfId="0" applyFont="1" applyBorder="1" applyAlignment="1">
      <alignment horizontal="center" vertical="center" wrapText="1" readingOrder="1"/>
    </xf>
    <xf numFmtId="0" fontId="76" fillId="0" borderId="35" xfId="0" applyFont="1" applyBorder="1" applyAlignment="1">
      <alignment horizontal="center" vertical="center" wrapText="1" readingOrder="1"/>
    </xf>
    <xf numFmtId="0" fontId="93" fillId="15" borderId="0" xfId="0" applyFont="1" applyFill="1" applyAlignment="1">
      <alignment vertical="center"/>
    </xf>
    <xf numFmtId="0" fontId="79" fillId="0" borderId="0" xfId="0" applyFont="1" applyAlignment="1">
      <alignment vertical="center"/>
    </xf>
    <xf numFmtId="2" fontId="52" fillId="0" borderId="0" xfId="0" applyNumberFormat="1" applyFont="1" applyAlignment="1">
      <alignment horizontal="center" vertical="center" wrapText="1" readingOrder="1"/>
    </xf>
    <xf numFmtId="165" fontId="19" fillId="0" borderId="35" xfId="0" applyNumberFormat="1" applyFont="1" applyBorder="1" applyAlignment="1">
      <alignment horizontal="center" vertical="center"/>
    </xf>
    <xf numFmtId="1" fontId="19" fillId="0" borderId="35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 wrapText="1" readingOrder="1"/>
    </xf>
    <xf numFmtId="165" fontId="7" fillId="0" borderId="35" xfId="0" applyNumberFormat="1" applyFont="1" applyBorder="1" applyAlignment="1">
      <alignment horizontal="center" vertical="center" wrapText="1" readingOrder="1"/>
    </xf>
    <xf numFmtId="1" fontId="7" fillId="0" borderId="34" xfId="0" applyNumberFormat="1" applyFont="1" applyBorder="1" applyAlignment="1">
      <alignment horizontal="center" vertical="center" wrapText="1" readingOrder="1"/>
    </xf>
    <xf numFmtId="165" fontId="19" fillId="0" borderId="35" xfId="0" applyNumberFormat="1" applyFont="1" applyBorder="1" applyAlignment="1">
      <alignment horizontal="center" vertical="center" wrapText="1" readingOrder="1"/>
    </xf>
    <xf numFmtId="165" fontId="59" fillId="0" borderId="34" xfId="0" applyNumberFormat="1" applyFont="1" applyBorder="1" applyAlignment="1">
      <alignment horizontal="center" vertical="center" wrapText="1" readingOrder="1"/>
    </xf>
    <xf numFmtId="1" fontId="59" fillId="0" borderId="0" xfId="0" applyNumberFormat="1" applyFont="1" applyAlignment="1">
      <alignment horizontal="center" vertical="center" wrapText="1" readingOrder="1"/>
    </xf>
    <xf numFmtId="165" fontId="59" fillId="0" borderId="0" xfId="0" applyNumberFormat="1" applyFont="1" applyAlignment="1">
      <alignment horizontal="center" vertical="center" wrapText="1" readingOrder="1"/>
    </xf>
    <xf numFmtId="2" fontId="63" fillId="0" borderId="0" xfId="0" applyNumberFormat="1" applyFont="1" applyAlignment="1">
      <alignment horizontal="center" vertical="center" wrapText="1" readingOrder="1"/>
    </xf>
    <xf numFmtId="0" fontId="82" fillId="7" borderId="60" xfId="0" applyFont="1" applyFill="1" applyBorder="1" applyAlignment="1">
      <alignment horizontal="center" vertical="center" wrapText="1" readingOrder="1"/>
    </xf>
    <xf numFmtId="14" fontId="82" fillId="7" borderId="62" xfId="0" applyNumberFormat="1" applyFont="1" applyFill="1" applyBorder="1" applyAlignment="1">
      <alignment horizontal="center" vertical="center" wrapText="1" readingOrder="1"/>
    </xf>
    <xf numFmtId="14" fontId="82" fillId="7" borderId="60" xfId="0" applyNumberFormat="1" applyFont="1" applyFill="1" applyBorder="1" applyAlignment="1">
      <alignment horizontal="center" vertical="center" wrapText="1" readingOrder="1"/>
    </xf>
    <xf numFmtId="0" fontId="3" fillId="9" borderId="0" xfId="0" applyFont="1" applyFill="1" applyAlignment="1">
      <alignment horizontal="center" vertical="center" wrapText="1" readingOrder="1"/>
    </xf>
    <xf numFmtId="0" fontId="3" fillId="9" borderId="3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72" fillId="0" borderId="0" xfId="0" applyFont="1" applyAlignment="1">
      <alignment horizontal="center" vertical="center"/>
    </xf>
    <xf numFmtId="0" fontId="82" fillId="7" borderId="62" xfId="0" applyFont="1" applyFill="1" applyBorder="1" applyAlignment="1">
      <alignment horizontal="center" vertical="center" wrapText="1" readingOrder="1"/>
    </xf>
    <xf numFmtId="0" fontId="55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20" xfId="0" applyFont="1" applyFill="1" applyBorder="1" applyAlignment="1">
      <alignment horizontal="center" vertical="center" wrapText="1" readingOrder="1"/>
    </xf>
    <xf numFmtId="0" fontId="29" fillId="2" borderId="3" xfId="0" applyFont="1" applyFill="1" applyBorder="1" applyAlignment="1">
      <alignment horizontal="center" vertical="center" wrapText="1" readingOrder="1"/>
    </xf>
    <xf numFmtId="0" fontId="3" fillId="10" borderId="3" xfId="0" applyFont="1" applyFill="1" applyBorder="1" applyAlignment="1">
      <alignment horizontal="center" vertical="center" wrapText="1" readingOrder="1"/>
    </xf>
    <xf numFmtId="0" fontId="2" fillId="6" borderId="0" xfId="0" applyFont="1" applyFill="1" applyAlignment="1">
      <alignment horizontal="left" vertical="center" readingOrder="1"/>
    </xf>
    <xf numFmtId="0" fontId="3" fillId="7" borderId="0" xfId="0" applyFont="1" applyFill="1" applyAlignment="1">
      <alignment horizontal="left" vertical="center" readingOrder="1"/>
    </xf>
    <xf numFmtId="0" fontId="3" fillId="8" borderId="0" xfId="0" applyFont="1" applyFill="1" applyAlignment="1">
      <alignment horizontal="left" vertical="center" readingOrder="1"/>
    </xf>
    <xf numFmtId="0" fontId="34" fillId="12" borderId="22" xfId="0" applyFont="1" applyFill="1" applyBorder="1" applyAlignment="1">
      <alignment horizontal="center" vertical="center" readingOrder="1"/>
    </xf>
    <xf numFmtId="0" fontId="34" fillId="12" borderId="23" xfId="0" applyFont="1" applyFill="1" applyBorder="1" applyAlignment="1">
      <alignment horizontal="center" vertical="center" readingOrder="1"/>
    </xf>
    <xf numFmtId="0" fontId="2" fillId="4" borderId="0" xfId="0" applyFont="1" applyFill="1" applyAlignment="1">
      <alignment horizontal="left" vertical="center" readingOrder="1"/>
    </xf>
    <xf numFmtId="0" fontId="2" fillId="5" borderId="0" xfId="0" applyFont="1" applyFill="1" applyAlignment="1">
      <alignment horizontal="left" vertical="center" readingOrder="1"/>
    </xf>
    <xf numFmtId="0" fontId="30" fillId="2" borderId="8" xfId="0" applyFont="1" applyFill="1" applyBorder="1" applyAlignment="1">
      <alignment horizontal="center" vertical="center" wrapText="1" readingOrder="1"/>
    </xf>
    <xf numFmtId="0" fontId="30" fillId="2" borderId="9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 wrapText="1"/>
    </xf>
    <xf numFmtId="0" fontId="30" fillId="2" borderId="0" xfId="0" applyFont="1" applyFill="1" applyAlignment="1">
      <alignment horizontal="center" vertical="center" wrapText="1" readingOrder="1"/>
    </xf>
    <xf numFmtId="0" fontId="30" fillId="2" borderId="7" xfId="0" applyFont="1" applyFill="1" applyBorder="1" applyAlignment="1">
      <alignment horizontal="center" vertical="center" wrapText="1" readingOrder="1"/>
    </xf>
    <xf numFmtId="14" fontId="82" fillId="18" borderId="60" xfId="0" applyNumberFormat="1" applyFont="1" applyFill="1" applyBorder="1" applyAlignment="1">
      <alignment horizontal="center" vertical="center"/>
    </xf>
    <xf numFmtId="14" fontId="82" fillId="18" borderId="60" xfId="0" applyNumberFormat="1" applyFont="1" applyFill="1" applyBorder="1" applyAlignment="1">
      <alignment horizontal="center" vertical="center" wrapText="1"/>
    </xf>
    <xf numFmtId="0" fontId="82" fillId="18" borderId="60" xfId="0" applyFont="1" applyFill="1" applyBorder="1" applyAlignment="1">
      <alignment horizontal="center" vertical="center" wrapText="1"/>
    </xf>
    <xf numFmtId="0" fontId="82" fillId="18" borderId="60" xfId="0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 wrapText="1"/>
    </xf>
    <xf numFmtId="0" fontId="75" fillId="3" borderId="0" xfId="0" applyFont="1" applyFill="1" applyAlignment="1">
      <alignment horizontal="left" vertical="center" wrapText="1" readingOrder="1"/>
    </xf>
    <xf numFmtId="0" fontId="55" fillId="0" borderId="0" xfId="0" applyFont="1" applyAlignment="1">
      <alignment vertical="center"/>
    </xf>
    <xf numFmtId="0" fontId="2" fillId="10" borderId="3" xfId="0" applyFont="1" applyFill="1" applyBorder="1" applyAlignment="1">
      <alignment horizontal="center" vertical="center" wrapText="1" readingOrder="1"/>
    </xf>
    <xf numFmtId="0" fontId="2" fillId="10" borderId="1" xfId="0" applyFont="1" applyFill="1" applyBorder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/>
    </xf>
    <xf numFmtId="0" fontId="82" fillId="7" borderId="60" xfId="0" applyFont="1" applyFill="1" applyBorder="1" applyAlignment="1">
      <alignment horizontal="center" vertical="center" wrapText="1"/>
    </xf>
    <xf numFmtId="14" fontId="82" fillId="7" borderId="60" xfId="0" applyNumberFormat="1" applyFont="1" applyFill="1" applyBorder="1" applyAlignment="1">
      <alignment horizontal="center"/>
    </xf>
    <xf numFmtId="14" fontId="82" fillId="7" borderId="60" xfId="0" applyNumberFormat="1" applyFont="1" applyFill="1" applyBorder="1" applyAlignment="1">
      <alignment horizontal="center" wrapText="1"/>
    </xf>
    <xf numFmtId="0" fontId="82" fillId="7" borderId="60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10" borderId="0" xfId="0" applyFont="1" applyFill="1" applyAlignment="1">
      <alignment horizontal="center" vertical="center" wrapText="1" readingOrder="1"/>
    </xf>
    <xf numFmtId="0" fontId="3" fillId="10" borderId="1" xfId="0" applyFont="1" applyFill="1" applyBorder="1" applyAlignment="1">
      <alignment horizontal="center" vertical="center" wrapText="1" readingOrder="1"/>
    </xf>
    <xf numFmtId="0" fontId="2" fillId="9" borderId="3" xfId="0" applyFont="1" applyFill="1" applyBorder="1" applyAlignment="1">
      <alignment horizontal="center" vertical="center" wrapText="1" readingOrder="1"/>
    </xf>
    <xf numFmtId="0" fontId="2" fillId="9" borderId="0" xfId="0" applyFont="1" applyFill="1" applyAlignment="1">
      <alignment horizontal="center" vertical="center" wrapText="1" readingOrder="1"/>
    </xf>
    <xf numFmtId="49" fontId="48" fillId="0" borderId="27" xfId="0" applyNumberFormat="1" applyFont="1" applyBorder="1" applyAlignment="1">
      <alignment horizontal="center" vertical="center" wrapText="1" readingOrder="1"/>
    </xf>
    <xf numFmtId="49" fontId="48" fillId="0" borderId="28" xfId="0" applyNumberFormat="1" applyFont="1" applyBorder="1" applyAlignment="1">
      <alignment horizontal="center" vertical="center" wrapText="1" readingOrder="1"/>
    </xf>
    <xf numFmtId="0" fontId="47" fillId="11" borderId="49" xfId="0" applyFont="1" applyFill="1" applyBorder="1" applyAlignment="1">
      <alignment horizontal="left" vertical="center" wrapText="1" readingOrder="1"/>
    </xf>
    <xf numFmtId="0" fontId="47" fillId="11" borderId="52" xfId="0" applyFont="1" applyFill="1" applyBorder="1" applyAlignment="1">
      <alignment horizontal="left" vertical="center" wrapText="1" readingOrder="1"/>
    </xf>
    <xf numFmtId="0" fontId="47" fillId="11" borderId="47" xfId="0" applyFont="1" applyFill="1" applyBorder="1" applyAlignment="1">
      <alignment horizontal="left" vertical="center" wrapText="1" readingOrder="1"/>
    </xf>
    <xf numFmtId="0" fontId="47" fillId="14" borderId="48" xfId="0" applyFont="1" applyFill="1" applyBorder="1" applyAlignment="1">
      <alignment horizontal="left" vertical="center" wrapText="1" readingOrder="1"/>
    </xf>
    <xf numFmtId="0" fontId="47" fillId="14" borderId="49" xfId="0" applyFont="1" applyFill="1" applyBorder="1" applyAlignment="1">
      <alignment horizontal="left" vertical="center" wrapText="1" readingOrder="1"/>
    </xf>
    <xf numFmtId="0" fontId="47" fillId="0" borderId="47" xfId="0" applyFont="1" applyBorder="1" applyAlignment="1">
      <alignment vertical="center" wrapText="1" readingOrder="1"/>
    </xf>
    <xf numFmtId="0" fontId="47" fillId="0" borderId="48" xfId="0" applyFont="1" applyBorder="1" applyAlignment="1">
      <alignment vertical="center" wrapText="1" readingOrder="1"/>
    </xf>
    <xf numFmtId="0" fontId="47" fillId="11" borderId="43" xfId="0" applyFont="1" applyFill="1" applyBorder="1" applyAlignment="1">
      <alignment horizontal="left" vertical="center" wrapText="1" readingOrder="1"/>
    </xf>
    <xf numFmtId="17" fontId="67" fillId="0" borderId="27" xfId="0" applyNumberFormat="1" applyFont="1" applyBorder="1" applyAlignment="1">
      <alignment horizontal="center" vertical="center" wrapText="1" readingOrder="1"/>
    </xf>
    <xf numFmtId="0" fontId="67" fillId="0" borderId="28" xfId="0" applyFont="1" applyBorder="1" applyAlignment="1">
      <alignment horizontal="center" vertical="center" wrapText="1" readingOrder="1"/>
    </xf>
    <xf numFmtId="0" fontId="47" fillId="11" borderId="44" xfId="0" applyFont="1" applyFill="1" applyBorder="1" applyAlignment="1">
      <alignment horizontal="left" vertical="center" wrapText="1" readingOrder="1"/>
    </xf>
    <xf numFmtId="0" fontId="47" fillId="11" borderId="41" xfId="0" applyFont="1" applyFill="1" applyBorder="1" applyAlignment="1">
      <alignment horizontal="left" vertical="center" wrapText="1" readingOrder="1"/>
    </xf>
    <xf numFmtId="0" fontId="66" fillId="0" borderId="47" xfId="0" applyFont="1" applyBorder="1" applyAlignment="1">
      <alignment vertical="center" wrapText="1" readingOrder="1"/>
    </xf>
    <xf numFmtId="0" fontId="66" fillId="0" borderId="48" xfId="0" applyFont="1" applyBorder="1" applyAlignment="1">
      <alignment vertical="center" wrapText="1" readingOrder="1"/>
    </xf>
    <xf numFmtId="17" fontId="48" fillId="0" borderId="27" xfId="0" applyNumberFormat="1" applyFont="1" applyBorder="1" applyAlignment="1">
      <alignment horizontal="center" vertical="center" wrapText="1" readingOrder="1"/>
    </xf>
    <xf numFmtId="0" fontId="48" fillId="0" borderId="28" xfId="0" applyFont="1" applyBorder="1" applyAlignment="1">
      <alignment horizontal="center" vertical="center" wrapText="1" readingOrder="1"/>
    </xf>
    <xf numFmtId="0" fontId="47" fillId="11" borderId="48" xfId="0" applyFont="1" applyFill="1" applyBorder="1" applyAlignment="1">
      <alignment horizontal="left" vertical="center" wrapText="1" readingOrder="1"/>
    </xf>
    <xf numFmtId="0" fontId="47" fillId="11" borderId="55" xfId="0" applyFont="1" applyFill="1" applyBorder="1" applyAlignment="1">
      <alignment horizontal="left" vertical="center" wrapText="1" readingOrder="1"/>
    </xf>
    <xf numFmtId="0" fontId="47" fillId="11" borderId="53" xfId="0" applyFont="1" applyFill="1" applyBorder="1" applyAlignment="1">
      <alignment horizontal="left" vertical="center" wrapText="1" readingOrder="1"/>
    </xf>
    <xf numFmtId="49" fontId="48" fillId="11" borderId="27" xfId="0" applyNumberFormat="1" applyFont="1" applyFill="1" applyBorder="1" applyAlignment="1">
      <alignment horizontal="center" vertical="center" wrapText="1" readingOrder="1"/>
    </xf>
    <xf numFmtId="49" fontId="48" fillId="11" borderId="28" xfId="0" applyNumberFormat="1" applyFont="1" applyFill="1" applyBorder="1" applyAlignment="1">
      <alignment horizontal="center" vertical="center" wrapText="1" readingOrder="1"/>
    </xf>
    <xf numFmtId="49" fontId="48" fillId="11" borderId="54" xfId="0" applyNumberFormat="1" applyFont="1" applyFill="1" applyBorder="1" applyAlignment="1">
      <alignment horizontal="center" vertical="center" wrapText="1" readingOrder="1"/>
    </xf>
    <xf numFmtId="17" fontId="48" fillId="0" borderId="28" xfId="0" applyNumberFormat="1" applyFont="1" applyBorder="1" applyAlignment="1">
      <alignment horizontal="center" vertical="center" wrapText="1" readingOrder="1"/>
    </xf>
    <xf numFmtId="0" fontId="47" fillId="13" borderId="30" xfId="0" applyFont="1" applyFill="1" applyBorder="1" applyAlignment="1">
      <alignment horizontal="center" vertical="center" wrapText="1" readingOrder="1"/>
    </xf>
    <xf numFmtId="0" fontId="47" fillId="13" borderId="31" xfId="0" applyFont="1" applyFill="1" applyBorder="1" applyAlignment="1">
      <alignment horizontal="center" vertical="center" wrapText="1" readingOrder="1"/>
    </xf>
    <xf numFmtId="0" fontId="47" fillId="13" borderId="32" xfId="0" applyFont="1" applyFill="1" applyBorder="1" applyAlignment="1">
      <alignment horizontal="center" vertical="center" wrapText="1" readingOrder="1"/>
    </xf>
    <xf numFmtId="0" fontId="49" fillId="0" borderId="41" xfId="0" applyFont="1" applyBorder="1" applyAlignment="1">
      <alignment horizontal="left" vertical="center" wrapText="1"/>
    </xf>
    <xf numFmtId="0" fontId="49" fillId="0" borderId="43" xfId="0" applyFont="1" applyBorder="1" applyAlignment="1">
      <alignment horizontal="left" vertical="center" wrapText="1"/>
    </xf>
    <xf numFmtId="0" fontId="47" fillId="0" borderId="43" xfId="0" applyFont="1" applyBorder="1" applyAlignment="1">
      <alignment horizontal="left" vertical="center" wrapText="1" readingOrder="1"/>
    </xf>
    <xf numFmtId="0" fontId="47" fillId="0" borderId="44" xfId="0" applyFont="1" applyBorder="1" applyAlignment="1">
      <alignment horizontal="left" vertical="center" wrapText="1" readingOrder="1"/>
    </xf>
    <xf numFmtId="0" fontId="47" fillId="0" borderId="41" xfId="0" applyFont="1" applyBorder="1" applyAlignment="1">
      <alignment horizontal="left" vertical="center" wrapText="1" readingOrder="1"/>
    </xf>
    <xf numFmtId="0" fontId="50" fillId="13" borderId="33" xfId="0" applyFont="1" applyFill="1" applyBorder="1" applyAlignment="1">
      <alignment horizontal="center" vertical="center"/>
    </xf>
    <xf numFmtId="0" fontId="50" fillId="13" borderId="0" xfId="0" applyFont="1" applyFill="1" applyAlignment="1">
      <alignment horizontal="center" vertical="center"/>
    </xf>
    <xf numFmtId="0" fontId="50" fillId="13" borderId="42" xfId="0" applyFont="1" applyFill="1" applyBorder="1" applyAlignment="1">
      <alignment horizontal="center" vertical="center"/>
    </xf>
    <xf numFmtId="17" fontId="48" fillId="11" borderId="28" xfId="0" applyNumberFormat="1" applyFont="1" applyFill="1" applyBorder="1" applyAlignment="1">
      <alignment horizontal="center" vertical="center" wrapText="1" readingOrder="1"/>
    </xf>
    <xf numFmtId="0" fontId="48" fillId="0" borderId="27" xfId="0" applyFont="1" applyBorder="1" applyAlignment="1">
      <alignment horizontal="center" vertical="center" wrapText="1" readingOrder="1"/>
    </xf>
    <xf numFmtId="0" fontId="47" fillId="0" borderId="48" xfId="0" applyFont="1" applyBorder="1" applyAlignment="1">
      <alignment horizontal="left" vertical="center" wrapText="1" readingOrder="1"/>
    </xf>
    <xf numFmtId="0" fontId="47" fillId="0" borderId="49" xfId="0" applyFont="1" applyBorder="1" applyAlignment="1">
      <alignment horizontal="left" vertical="center" wrapText="1" readingOrder="1"/>
    </xf>
    <xf numFmtId="0" fontId="47" fillId="0" borderId="47" xfId="0" applyFont="1" applyBorder="1" applyAlignment="1">
      <alignment horizontal="left" vertical="center" wrapText="1" readingOrder="1"/>
    </xf>
    <xf numFmtId="49" fontId="48" fillId="0" borderId="29" xfId="0" applyNumberFormat="1" applyFont="1" applyBorder="1" applyAlignment="1">
      <alignment horizontal="center" vertical="center" wrapText="1" readingOrder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156082"/>
      <color rgb="FFFF3333"/>
      <color rgb="FF4BAB79"/>
      <color rgb="FF00625D"/>
      <color rgb="FF555F67"/>
      <color rgb="FF702C63"/>
      <color rgb="FF129FDA"/>
      <color rgb="FF65BB8E"/>
      <color rgb="FF00C4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390412</xdr:colOff>
      <xdr:row>5</xdr:row>
      <xdr:rowOff>97971</xdr:rowOff>
    </xdr:from>
    <xdr:to>
      <xdr:col>21</xdr:col>
      <xdr:colOff>651518</xdr:colOff>
      <xdr:row>6</xdr:row>
      <xdr:rowOff>39120</xdr:rowOff>
    </xdr:to>
    <xdr:sp macro="" textlink="">
      <xdr:nvSpPr>
        <xdr:cNvPr id="91" name="Minus Sign 4">
          <a:extLst>
            <a:ext uri="{FF2B5EF4-FFF2-40B4-BE49-F238E27FC236}">
              <a16:creationId xmlns:a16="http://schemas.microsoft.com/office/drawing/2014/main" id="{99DA2064-8E68-433E-95BB-DE21A3955905}"/>
            </a:ext>
          </a:extLst>
        </xdr:cNvPr>
        <xdr:cNvSpPr/>
      </xdr:nvSpPr>
      <xdr:spPr>
        <a:xfrm>
          <a:off x="21101995" y="1050471"/>
          <a:ext cx="261106" cy="184566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65833</xdr:colOff>
      <xdr:row>13</xdr:row>
      <xdr:rowOff>22841</xdr:rowOff>
    </xdr:from>
    <xdr:to>
      <xdr:col>8</xdr:col>
      <xdr:colOff>148129</xdr:colOff>
      <xdr:row>14</xdr:row>
      <xdr:rowOff>489</xdr:rowOff>
    </xdr:to>
    <xdr:sp macro="" textlink="">
      <xdr:nvSpPr>
        <xdr:cNvPr id="1583" name="Up Arrow 10">
          <a:extLst>
            <a:ext uri="{FF2B5EF4-FFF2-40B4-BE49-F238E27FC236}">
              <a16:creationId xmlns:a16="http://schemas.microsoft.com/office/drawing/2014/main" id="{52AAFECC-0EFD-4DF3-A600-FDAA647EDD78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7479004" y="3598798"/>
          <a:ext cx="82296" cy="157262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47545</xdr:colOff>
      <xdr:row>14</xdr:row>
      <xdr:rowOff>57541</xdr:rowOff>
    </xdr:from>
    <xdr:to>
      <xdr:col>8</xdr:col>
      <xdr:colOff>166417</xdr:colOff>
      <xdr:row>14</xdr:row>
      <xdr:rowOff>203845</xdr:rowOff>
    </xdr:to>
    <xdr:sp macro="" textlink="">
      <xdr:nvSpPr>
        <xdr:cNvPr id="1581" name="Minus Sign 3">
          <a:extLst>
            <a:ext uri="{FF2B5EF4-FFF2-40B4-BE49-F238E27FC236}">
              <a16:creationId xmlns:a16="http://schemas.microsoft.com/office/drawing/2014/main" id="{5943EE99-F459-4A58-81D7-1F60DE307AB2}"/>
            </a:ext>
          </a:extLst>
        </xdr:cNvPr>
        <xdr:cNvSpPr/>
      </xdr:nvSpPr>
      <xdr:spPr>
        <a:xfrm>
          <a:off x="7460716" y="3813112"/>
          <a:ext cx="118872" cy="146304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72291</xdr:colOff>
      <xdr:row>18</xdr:row>
      <xdr:rowOff>57614</xdr:rowOff>
    </xdr:from>
    <xdr:to>
      <xdr:col>8</xdr:col>
      <xdr:colOff>154587</xdr:colOff>
      <xdr:row>18</xdr:row>
      <xdr:rowOff>213062</xdr:rowOff>
    </xdr:to>
    <xdr:sp macro="" textlink="">
      <xdr:nvSpPr>
        <xdr:cNvPr id="1582" name="Up Arrow 10">
          <a:extLst>
            <a:ext uri="{FF2B5EF4-FFF2-40B4-BE49-F238E27FC236}">
              <a16:creationId xmlns:a16="http://schemas.microsoft.com/office/drawing/2014/main" id="{741C7002-5298-4D80-9109-14E30C5AFAB4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7349391" y="4782014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65833</xdr:colOff>
      <xdr:row>10</xdr:row>
      <xdr:rowOff>84026</xdr:rowOff>
    </xdr:from>
    <xdr:to>
      <xdr:col>8</xdr:col>
      <xdr:colOff>148129</xdr:colOff>
      <xdr:row>10</xdr:row>
      <xdr:rowOff>230584</xdr:rowOff>
    </xdr:to>
    <xdr:sp macro="" textlink="">
      <xdr:nvSpPr>
        <xdr:cNvPr id="1586" name="Arrow: Up 35">
          <a:extLst>
            <a:ext uri="{FF2B5EF4-FFF2-40B4-BE49-F238E27FC236}">
              <a16:creationId xmlns:a16="http://schemas.microsoft.com/office/drawing/2014/main" id="{ECE10C62-4FFD-482F-A59F-FBE96F5E0F81}"/>
            </a:ext>
          </a:extLst>
        </xdr:cNvPr>
        <xdr:cNvSpPr/>
      </xdr:nvSpPr>
      <xdr:spPr>
        <a:xfrm rot="10800000">
          <a:off x="7479004" y="2843555"/>
          <a:ext cx="82296" cy="14655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65833</xdr:colOff>
      <xdr:row>11</xdr:row>
      <xdr:rowOff>49481</xdr:rowOff>
    </xdr:from>
    <xdr:to>
      <xdr:col>8</xdr:col>
      <xdr:colOff>148129</xdr:colOff>
      <xdr:row>11</xdr:row>
      <xdr:rowOff>204929</xdr:rowOff>
    </xdr:to>
    <xdr:sp macro="" textlink="">
      <xdr:nvSpPr>
        <xdr:cNvPr id="1587" name="Arrow: Up 36">
          <a:extLst>
            <a:ext uri="{FF2B5EF4-FFF2-40B4-BE49-F238E27FC236}">
              <a16:creationId xmlns:a16="http://schemas.microsoft.com/office/drawing/2014/main" id="{9A000A32-BCC5-4E35-81CF-0DFB6C8846C1}"/>
            </a:ext>
          </a:extLst>
        </xdr:cNvPr>
        <xdr:cNvSpPr/>
      </xdr:nvSpPr>
      <xdr:spPr>
        <a:xfrm rot="10800000">
          <a:off x="7479004" y="3113810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69243</xdr:colOff>
      <xdr:row>20</xdr:row>
      <xdr:rowOff>31752</xdr:rowOff>
    </xdr:from>
    <xdr:to>
      <xdr:col>8</xdr:col>
      <xdr:colOff>151539</xdr:colOff>
      <xdr:row>20</xdr:row>
      <xdr:rowOff>187200</xdr:rowOff>
    </xdr:to>
    <xdr:sp macro="" textlink="">
      <xdr:nvSpPr>
        <xdr:cNvPr id="1579" name="Up Arrow 10">
          <a:extLst>
            <a:ext uri="{FF2B5EF4-FFF2-40B4-BE49-F238E27FC236}">
              <a16:creationId xmlns:a16="http://schemas.microsoft.com/office/drawing/2014/main" id="{380D315E-5BAC-4750-BF6A-3F08B4BA413F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7346343" y="5264152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69243</xdr:colOff>
      <xdr:row>32</xdr:row>
      <xdr:rowOff>43908</xdr:rowOff>
    </xdr:from>
    <xdr:to>
      <xdr:col>8</xdr:col>
      <xdr:colOff>151539</xdr:colOff>
      <xdr:row>32</xdr:row>
      <xdr:rowOff>199356</xdr:rowOff>
    </xdr:to>
    <xdr:sp macro="" textlink="">
      <xdr:nvSpPr>
        <xdr:cNvPr id="1564" name="Up Arrow 10">
          <a:extLst>
            <a:ext uri="{FF2B5EF4-FFF2-40B4-BE49-F238E27FC236}">
              <a16:creationId xmlns:a16="http://schemas.microsoft.com/office/drawing/2014/main" id="{C667BD6D-4024-4A9C-B113-4AF545C0F7F3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 rot="10800000">
          <a:off x="7509326" y="8097825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45304</xdr:colOff>
      <xdr:row>23</xdr:row>
      <xdr:rowOff>68474</xdr:rowOff>
    </xdr:from>
    <xdr:to>
      <xdr:col>8</xdr:col>
      <xdr:colOff>164176</xdr:colOff>
      <xdr:row>23</xdr:row>
      <xdr:rowOff>214778</xdr:rowOff>
    </xdr:to>
    <xdr:sp macro="" textlink="">
      <xdr:nvSpPr>
        <xdr:cNvPr id="357" name="Minus Sign 3">
          <a:extLst>
            <a:ext uri="{FF2B5EF4-FFF2-40B4-BE49-F238E27FC236}">
              <a16:creationId xmlns:a16="http://schemas.microsoft.com/office/drawing/2014/main" id="{CC7B8566-98E3-49D3-A079-2CABBE4FF4BA}"/>
            </a:ext>
          </a:extLst>
        </xdr:cNvPr>
        <xdr:cNvSpPr/>
      </xdr:nvSpPr>
      <xdr:spPr>
        <a:xfrm>
          <a:off x="7322404" y="6062874"/>
          <a:ext cx="118872" cy="146304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45304</xdr:colOff>
      <xdr:row>24</xdr:row>
      <xdr:rowOff>50666</xdr:rowOff>
    </xdr:from>
    <xdr:to>
      <xdr:col>8</xdr:col>
      <xdr:colOff>164176</xdr:colOff>
      <xdr:row>24</xdr:row>
      <xdr:rowOff>196970</xdr:rowOff>
    </xdr:to>
    <xdr:sp macro="" textlink="">
      <xdr:nvSpPr>
        <xdr:cNvPr id="358" name="Minus Sign 3">
          <a:extLst>
            <a:ext uri="{FF2B5EF4-FFF2-40B4-BE49-F238E27FC236}">
              <a16:creationId xmlns:a16="http://schemas.microsoft.com/office/drawing/2014/main" id="{5B527B64-EC70-4CBC-A464-268B2ED2961F}"/>
            </a:ext>
          </a:extLst>
        </xdr:cNvPr>
        <xdr:cNvSpPr/>
      </xdr:nvSpPr>
      <xdr:spPr>
        <a:xfrm>
          <a:off x="7322404" y="6299066"/>
          <a:ext cx="118872" cy="146304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42163</xdr:colOff>
      <xdr:row>13</xdr:row>
      <xdr:rowOff>24178</xdr:rowOff>
    </xdr:from>
    <xdr:to>
      <xdr:col>11</xdr:col>
      <xdr:colOff>124459</xdr:colOff>
      <xdr:row>13</xdr:row>
      <xdr:rowOff>178766</xdr:rowOff>
    </xdr:to>
    <xdr:sp macro="" textlink="">
      <xdr:nvSpPr>
        <xdr:cNvPr id="1641" name="Up Arrow 10">
          <a:extLst>
            <a:ext uri="{FF2B5EF4-FFF2-40B4-BE49-F238E27FC236}">
              <a16:creationId xmlns:a16="http://schemas.microsoft.com/office/drawing/2014/main" id="{B59EC671-8327-46B8-8E32-D129A985D83C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9420206" y="3600135"/>
          <a:ext cx="82296" cy="15458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36463</xdr:colOff>
      <xdr:row>18</xdr:row>
      <xdr:rowOff>105839</xdr:rowOff>
    </xdr:from>
    <xdr:to>
      <xdr:col>11</xdr:col>
      <xdr:colOff>118759</xdr:colOff>
      <xdr:row>19</xdr:row>
      <xdr:rowOff>7287</xdr:rowOff>
    </xdr:to>
    <xdr:sp macro="" textlink="">
      <xdr:nvSpPr>
        <xdr:cNvPr id="1633" name="Up Arrow 10">
          <a:extLst>
            <a:ext uri="{FF2B5EF4-FFF2-40B4-BE49-F238E27FC236}">
              <a16:creationId xmlns:a16="http://schemas.microsoft.com/office/drawing/2014/main" id="{84F339AD-943E-43AF-8A1C-AEB453730EBD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9380989" y="4838260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34415</xdr:colOff>
      <xdr:row>23</xdr:row>
      <xdr:rowOff>66676</xdr:rowOff>
    </xdr:from>
    <xdr:to>
      <xdr:col>11</xdr:col>
      <xdr:colOff>116711</xdr:colOff>
      <xdr:row>23</xdr:row>
      <xdr:rowOff>222124</xdr:rowOff>
    </xdr:to>
    <xdr:sp macro="" textlink="">
      <xdr:nvSpPr>
        <xdr:cNvPr id="1635" name="Up Arrow 10">
          <a:extLst>
            <a:ext uri="{FF2B5EF4-FFF2-40B4-BE49-F238E27FC236}">
              <a16:creationId xmlns:a16="http://schemas.microsoft.com/office/drawing/2014/main" id="{0EC60281-1770-4A82-994C-BF05D6DEA496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9378941" y="6069097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36463</xdr:colOff>
      <xdr:row>24</xdr:row>
      <xdr:rowOff>88372</xdr:rowOff>
    </xdr:from>
    <xdr:to>
      <xdr:col>11</xdr:col>
      <xdr:colOff>118759</xdr:colOff>
      <xdr:row>24</xdr:row>
      <xdr:rowOff>243820</xdr:rowOff>
    </xdr:to>
    <xdr:sp macro="" textlink="">
      <xdr:nvSpPr>
        <xdr:cNvPr id="1667" name="Up Arrow 10">
          <a:extLst>
            <a:ext uri="{FF2B5EF4-FFF2-40B4-BE49-F238E27FC236}">
              <a16:creationId xmlns:a16="http://schemas.microsoft.com/office/drawing/2014/main" id="{4D4AD5E6-3CF0-4F04-A548-06214B33026E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9380989" y="6344793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34861</xdr:colOff>
      <xdr:row>14</xdr:row>
      <xdr:rowOff>41176</xdr:rowOff>
    </xdr:from>
    <xdr:to>
      <xdr:col>11</xdr:col>
      <xdr:colOff>131762</xdr:colOff>
      <xdr:row>14</xdr:row>
      <xdr:rowOff>220210</xdr:rowOff>
    </xdr:to>
    <xdr:sp macro="" textlink="">
      <xdr:nvSpPr>
        <xdr:cNvPr id="1626" name="Arrow: Up 27">
          <a:extLst>
            <a:ext uri="{FF2B5EF4-FFF2-40B4-BE49-F238E27FC236}">
              <a16:creationId xmlns:a16="http://schemas.microsoft.com/office/drawing/2014/main" id="{90878654-0E25-4010-A88D-73A81D36619E}"/>
            </a:ext>
          </a:extLst>
        </xdr:cNvPr>
        <xdr:cNvSpPr/>
      </xdr:nvSpPr>
      <xdr:spPr>
        <a:xfrm rot="10800000">
          <a:off x="9412904" y="3796747"/>
          <a:ext cx="96901" cy="179034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34861</xdr:colOff>
      <xdr:row>16</xdr:row>
      <xdr:rowOff>47876</xdr:rowOff>
    </xdr:from>
    <xdr:to>
      <xdr:col>11</xdr:col>
      <xdr:colOff>131762</xdr:colOff>
      <xdr:row>16</xdr:row>
      <xdr:rowOff>207806</xdr:rowOff>
    </xdr:to>
    <xdr:sp macro="" textlink="">
      <xdr:nvSpPr>
        <xdr:cNvPr id="1646" name="Arrow: Up 28">
          <a:extLst>
            <a:ext uri="{FF2B5EF4-FFF2-40B4-BE49-F238E27FC236}">
              <a16:creationId xmlns:a16="http://schemas.microsoft.com/office/drawing/2014/main" id="{C9250556-8783-45F6-BE12-1B91BA5FA185}"/>
            </a:ext>
          </a:extLst>
        </xdr:cNvPr>
        <xdr:cNvSpPr/>
      </xdr:nvSpPr>
      <xdr:spPr>
        <a:xfrm>
          <a:off x="9412904" y="4315076"/>
          <a:ext cx="96901" cy="15993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16117</xdr:colOff>
      <xdr:row>25</xdr:row>
      <xdr:rowOff>75974</xdr:rowOff>
    </xdr:from>
    <xdr:to>
      <xdr:col>11</xdr:col>
      <xdr:colOff>134989</xdr:colOff>
      <xdr:row>25</xdr:row>
      <xdr:rowOff>222278</xdr:rowOff>
    </xdr:to>
    <xdr:sp macro="" textlink="">
      <xdr:nvSpPr>
        <xdr:cNvPr id="1636" name="Minus Sign 3">
          <a:extLst>
            <a:ext uri="{FF2B5EF4-FFF2-40B4-BE49-F238E27FC236}">
              <a16:creationId xmlns:a16="http://schemas.microsoft.com/office/drawing/2014/main" id="{19DCA051-A480-4E21-947D-26F78D470B4C}"/>
            </a:ext>
          </a:extLst>
        </xdr:cNvPr>
        <xdr:cNvSpPr/>
      </xdr:nvSpPr>
      <xdr:spPr>
        <a:xfrm>
          <a:off x="9360643" y="6586395"/>
          <a:ext cx="118872" cy="146304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66024</xdr:colOff>
      <xdr:row>9</xdr:row>
      <xdr:rowOff>57654</xdr:rowOff>
    </xdr:from>
    <xdr:to>
      <xdr:col>8</xdr:col>
      <xdr:colOff>147939</xdr:colOff>
      <xdr:row>9</xdr:row>
      <xdr:rowOff>206879</xdr:rowOff>
    </xdr:to>
    <xdr:sp macro="" textlink="">
      <xdr:nvSpPr>
        <xdr:cNvPr id="39" name="Arrow: Up 22">
          <a:extLst>
            <a:ext uri="{FF2B5EF4-FFF2-40B4-BE49-F238E27FC236}">
              <a16:creationId xmlns:a16="http://schemas.microsoft.com/office/drawing/2014/main" id="{9CA391BA-BAEC-4C97-9980-D45560319CFE}"/>
            </a:ext>
          </a:extLst>
        </xdr:cNvPr>
        <xdr:cNvSpPr/>
      </xdr:nvSpPr>
      <xdr:spPr>
        <a:xfrm>
          <a:off x="7479195" y="2561368"/>
          <a:ext cx="81915" cy="14922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48978</xdr:colOff>
      <xdr:row>10</xdr:row>
      <xdr:rowOff>87456</xdr:rowOff>
    </xdr:from>
    <xdr:to>
      <xdr:col>14</xdr:col>
      <xdr:colOff>125178</xdr:colOff>
      <xdr:row>10</xdr:row>
      <xdr:rowOff>227156</xdr:rowOff>
    </xdr:to>
    <xdr:sp macro="" textlink="">
      <xdr:nvSpPr>
        <xdr:cNvPr id="1599" name="Arrow: Up 23">
          <a:extLst>
            <a:ext uri="{FF2B5EF4-FFF2-40B4-BE49-F238E27FC236}">
              <a16:creationId xmlns:a16="http://schemas.microsoft.com/office/drawing/2014/main" id="{4369E9DD-929E-468F-8B40-4555AB74E5D8}"/>
            </a:ext>
          </a:extLst>
        </xdr:cNvPr>
        <xdr:cNvSpPr/>
      </xdr:nvSpPr>
      <xdr:spPr>
        <a:xfrm rot="10800000">
          <a:off x="11391892" y="2846985"/>
          <a:ext cx="76200" cy="1397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48978</xdr:colOff>
      <xdr:row>11</xdr:row>
      <xdr:rowOff>51006</xdr:rowOff>
    </xdr:from>
    <xdr:to>
      <xdr:col>14</xdr:col>
      <xdr:colOff>125178</xdr:colOff>
      <xdr:row>11</xdr:row>
      <xdr:rowOff>203406</xdr:rowOff>
    </xdr:to>
    <xdr:sp macro="" textlink="">
      <xdr:nvSpPr>
        <xdr:cNvPr id="1610" name="Arrow: Up 24">
          <a:extLst>
            <a:ext uri="{FF2B5EF4-FFF2-40B4-BE49-F238E27FC236}">
              <a16:creationId xmlns:a16="http://schemas.microsoft.com/office/drawing/2014/main" id="{1007A825-53F8-4136-A788-0EFB50754904}"/>
            </a:ext>
          </a:extLst>
        </xdr:cNvPr>
        <xdr:cNvSpPr/>
      </xdr:nvSpPr>
      <xdr:spPr>
        <a:xfrm rot="10800000">
          <a:off x="11391892" y="311533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48978</xdr:colOff>
      <xdr:row>14</xdr:row>
      <xdr:rowOff>42701</xdr:rowOff>
    </xdr:from>
    <xdr:to>
      <xdr:col>14</xdr:col>
      <xdr:colOff>125178</xdr:colOff>
      <xdr:row>14</xdr:row>
      <xdr:rowOff>218687</xdr:rowOff>
    </xdr:to>
    <xdr:sp macro="" textlink="">
      <xdr:nvSpPr>
        <xdr:cNvPr id="1627" name="Arrow: Up 25">
          <a:extLst>
            <a:ext uri="{FF2B5EF4-FFF2-40B4-BE49-F238E27FC236}">
              <a16:creationId xmlns:a16="http://schemas.microsoft.com/office/drawing/2014/main" id="{8BDD4882-A420-4EE8-9A29-C96B155A2640}"/>
            </a:ext>
          </a:extLst>
        </xdr:cNvPr>
        <xdr:cNvSpPr/>
      </xdr:nvSpPr>
      <xdr:spPr>
        <a:xfrm rot="10800000">
          <a:off x="11391892" y="3798272"/>
          <a:ext cx="76200" cy="17598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48490</xdr:colOff>
      <xdr:row>20</xdr:row>
      <xdr:rowOff>35393</xdr:rowOff>
    </xdr:from>
    <xdr:to>
      <xdr:col>14</xdr:col>
      <xdr:colOff>130405</xdr:colOff>
      <xdr:row>20</xdr:row>
      <xdr:rowOff>190968</xdr:rowOff>
    </xdr:to>
    <xdr:sp macro="" textlink="">
      <xdr:nvSpPr>
        <xdr:cNvPr id="1657" name="Arrow: Up 26">
          <a:extLst>
            <a:ext uri="{FF2B5EF4-FFF2-40B4-BE49-F238E27FC236}">
              <a16:creationId xmlns:a16="http://schemas.microsoft.com/office/drawing/2014/main" id="{BAC1601D-4412-42B2-B2D2-F19116805C1B}"/>
            </a:ext>
          </a:extLst>
        </xdr:cNvPr>
        <xdr:cNvSpPr/>
      </xdr:nvSpPr>
      <xdr:spPr>
        <a:xfrm>
          <a:off x="11400558" y="5360734"/>
          <a:ext cx="76200" cy="15557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57150</xdr:colOff>
      <xdr:row>21</xdr:row>
      <xdr:rowOff>48021</xdr:rowOff>
    </xdr:from>
    <xdr:to>
      <xdr:col>14</xdr:col>
      <xdr:colOff>133350</xdr:colOff>
      <xdr:row>21</xdr:row>
      <xdr:rowOff>206136</xdr:rowOff>
    </xdr:to>
    <xdr:sp macro="" textlink="">
      <xdr:nvSpPr>
        <xdr:cNvPr id="1658" name="Arrow: Up 27">
          <a:extLst>
            <a:ext uri="{FF2B5EF4-FFF2-40B4-BE49-F238E27FC236}">
              <a16:creationId xmlns:a16="http://schemas.microsoft.com/office/drawing/2014/main" id="{D89FC90D-4B76-45BF-B7A0-87BCCB5B9AB6}"/>
            </a:ext>
          </a:extLst>
        </xdr:cNvPr>
        <xdr:cNvSpPr/>
      </xdr:nvSpPr>
      <xdr:spPr>
        <a:xfrm>
          <a:off x="11409218" y="563313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48978</xdr:colOff>
      <xdr:row>13</xdr:row>
      <xdr:rowOff>26746</xdr:rowOff>
    </xdr:from>
    <xdr:to>
      <xdr:col>14</xdr:col>
      <xdr:colOff>125178</xdr:colOff>
      <xdr:row>13</xdr:row>
      <xdr:rowOff>176198</xdr:rowOff>
    </xdr:to>
    <xdr:sp macro="" textlink="">
      <xdr:nvSpPr>
        <xdr:cNvPr id="1642" name="Up Arrow 10">
          <a:extLst>
            <a:ext uri="{FF2B5EF4-FFF2-40B4-BE49-F238E27FC236}">
              <a16:creationId xmlns:a16="http://schemas.microsoft.com/office/drawing/2014/main" id="{020B0058-D1D7-4137-974A-1560691CAB02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1391892" y="3602703"/>
          <a:ext cx="76200" cy="149452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38100</xdr:colOff>
      <xdr:row>18</xdr:row>
      <xdr:rowOff>50404</xdr:rowOff>
    </xdr:from>
    <xdr:to>
      <xdr:col>14</xdr:col>
      <xdr:colOff>114300</xdr:colOff>
      <xdr:row>18</xdr:row>
      <xdr:rowOff>202804</xdr:rowOff>
    </xdr:to>
    <xdr:sp macro="" textlink="">
      <xdr:nvSpPr>
        <xdr:cNvPr id="1631" name="Up Arrow 10">
          <a:extLst>
            <a:ext uri="{FF2B5EF4-FFF2-40B4-BE49-F238E27FC236}">
              <a16:creationId xmlns:a16="http://schemas.microsoft.com/office/drawing/2014/main" id="{D0A7E657-F36D-4C99-8BE3-B537EB3D12D3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4349413" y="4193779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19</xdr:row>
      <xdr:rowOff>52786</xdr:rowOff>
    </xdr:from>
    <xdr:to>
      <xdr:col>14</xdr:col>
      <xdr:colOff>180975</xdr:colOff>
      <xdr:row>19</xdr:row>
      <xdr:rowOff>195661</xdr:rowOff>
    </xdr:to>
    <xdr:sp macro="" textlink="">
      <xdr:nvSpPr>
        <xdr:cNvPr id="1632" name="Minus Sign 3">
          <a:extLst>
            <a:ext uri="{FF2B5EF4-FFF2-40B4-BE49-F238E27FC236}">
              <a16:creationId xmlns:a16="http://schemas.microsoft.com/office/drawing/2014/main" id="{018E2777-7E14-4289-9BD8-7DFA98D5CE27}"/>
            </a:ext>
          </a:extLst>
        </xdr:cNvPr>
        <xdr:cNvSpPr/>
      </xdr:nvSpPr>
      <xdr:spPr>
        <a:xfrm>
          <a:off x="14311313" y="4442224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38100</xdr:colOff>
      <xdr:row>23</xdr:row>
      <xdr:rowOff>39690</xdr:rowOff>
    </xdr:from>
    <xdr:to>
      <xdr:col>14</xdr:col>
      <xdr:colOff>114300</xdr:colOff>
      <xdr:row>23</xdr:row>
      <xdr:rowOff>192090</xdr:rowOff>
    </xdr:to>
    <xdr:sp macro="" textlink="">
      <xdr:nvSpPr>
        <xdr:cNvPr id="1637" name="Up Arrow 10">
          <a:extLst>
            <a:ext uri="{FF2B5EF4-FFF2-40B4-BE49-F238E27FC236}">
              <a16:creationId xmlns:a16="http://schemas.microsoft.com/office/drawing/2014/main" id="{BCC6CEC7-1815-4E5F-9A96-4875A3579C2F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4349413" y="5413378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47625</xdr:colOff>
      <xdr:row>25</xdr:row>
      <xdr:rowOff>76203</xdr:rowOff>
    </xdr:from>
    <xdr:to>
      <xdr:col>14</xdr:col>
      <xdr:colOff>123825</xdr:colOff>
      <xdr:row>25</xdr:row>
      <xdr:rowOff>228603</xdr:rowOff>
    </xdr:to>
    <xdr:sp macro="" textlink="">
      <xdr:nvSpPr>
        <xdr:cNvPr id="1668" name="Up Arrow 10">
          <a:extLst>
            <a:ext uri="{FF2B5EF4-FFF2-40B4-BE49-F238E27FC236}">
              <a16:creationId xmlns:a16="http://schemas.microsoft.com/office/drawing/2014/main" id="{A033A403-200C-4B62-BE5E-C0A05811B06B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4358938" y="5942016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28575</xdr:colOff>
      <xdr:row>32</xdr:row>
      <xdr:rowOff>55564</xdr:rowOff>
    </xdr:from>
    <xdr:to>
      <xdr:col>14</xdr:col>
      <xdr:colOff>104775</xdr:colOff>
      <xdr:row>32</xdr:row>
      <xdr:rowOff>207964</xdr:rowOff>
    </xdr:to>
    <xdr:sp macro="" textlink="">
      <xdr:nvSpPr>
        <xdr:cNvPr id="1675" name="Up Arrow 10">
          <a:extLst>
            <a:ext uri="{FF2B5EF4-FFF2-40B4-BE49-F238E27FC236}">
              <a16:creationId xmlns:a16="http://schemas.microsoft.com/office/drawing/2014/main" id="{703E5F6F-130A-40F2-AC60-3D88D0A7642E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 rot="10800000">
          <a:off x="11426825" y="8109481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24</xdr:row>
      <xdr:rowOff>62711</xdr:rowOff>
    </xdr:from>
    <xdr:to>
      <xdr:col>14</xdr:col>
      <xdr:colOff>180975</xdr:colOff>
      <xdr:row>24</xdr:row>
      <xdr:rowOff>205586</xdr:rowOff>
    </xdr:to>
    <xdr:sp macro="" textlink="">
      <xdr:nvSpPr>
        <xdr:cNvPr id="1638" name="Minus Sign 3">
          <a:extLst>
            <a:ext uri="{FF2B5EF4-FFF2-40B4-BE49-F238E27FC236}">
              <a16:creationId xmlns:a16="http://schemas.microsoft.com/office/drawing/2014/main" id="{FC49B8BF-7D63-4487-94BB-B689DDC5DFFF}"/>
            </a:ext>
          </a:extLst>
        </xdr:cNvPr>
        <xdr:cNvSpPr/>
      </xdr:nvSpPr>
      <xdr:spPr>
        <a:xfrm>
          <a:off x="14311313" y="5682461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9683</xdr:colOff>
      <xdr:row>9</xdr:row>
      <xdr:rowOff>56066</xdr:rowOff>
    </xdr:from>
    <xdr:to>
      <xdr:col>17</xdr:col>
      <xdr:colOff>85883</xdr:colOff>
      <xdr:row>9</xdr:row>
      <xdr:rowOff>208466</xdr:rowOff>
    </xdr:to>
    <xdr:sp macro="" textlink="">
      <xdr:nvSpPr>
        <xdr:cNvPr id="42" name="Up Arrow 10">
          <a:extLst>
            <a:ext uri="{FF2B5EF4-FFF2-40B4-BE49-F238E27FC236}">
              <a16:creationId xmlns:a16="http://schemas.microsoft.com/office/drawing/2014/main" id="{C3767F7A-2DDC-42D3-9324-C6BB31A07003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 rot="10800000">
          <a:off x="13317469" y="255978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9683</xdr:colOff>
      <xdr:row>13</xdr:row>
      <xdr:rowOff>26746</xdr:rowOff>
    </xdr:from>
    <xdr:to>
      <xdr:col>17</xdr:col>
      <xdr:colOff>85883</xdr:colOff>
      <xdr:row>13</xdr:row>
      <xdr:rowOff>176198</xdr:rowOff>
    </xdr:to>
    <xdr:sp macro="" textlink="">
      <xdr:nvSpPr>
        <xdr:cNvPr id="1628" name="Up Arrow 10">
          <a:extLst>
            <a:ext uri="{FF2B5EF4-FFF2-40B4-BE49-F238E27FC236}">
              <a16:creationId xmlns:a16="http://schemas.microsoft.com/office/drawing/2014/main" id="{42E8414D-D492-4A70-BCC7-193A614E76FC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3317469" y="3602703"/>
          <a:ext cx="76200" cy="149452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2381</xdr:colOff>
      <xdr:row>10</xdr:row>
      <xdr:rowOff>86820</xdr:rowOff>
    </xdr:from>
    <xdr:to>
      <xdr:col>17</xdr:col>
      <xdr:colOff>93186</xdr:colOff>
      <xdr:row>10</xdr:row>
      <xdr:rowOff>227790</xdr:rowOff>
    </xdr:to>
    <xdr:sp macro="" textlink="">
      <xdr:nvSpPr>
        <xdr:cNvPr id="1602" name="Arrow: Up 23">
          <a:extLst>
            <a:ext uri="{FF2B5EF4-FFF2-40B4-BE49-F238E27FC236}">
              <a16:creationId xmlns:a16="http://schemas.microsoft.com/office/drawing/2014/main" id="{56CEE8EF-BF9D-4A2A-8673-D45CE242C0DF}"/>
            </a:ext>
          </a:extLst>
        </xdr:cNvPr>
        <xdr:cNvSpPr/>
      </xdr:nvSpPr>
      <xdr:spPr>
        <a:xfrm rot="10800000">
          <a:off x="13310167" y="2846349"/>
          <a:ext cx="90805" cy="14097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9683</xdr:colOff>
      <xdr:row>11</xdr:row>
      <xdr:rowOff>40573</xdr:rowOff>
    </xdr:from>
    <xdr:to>
      <xdr:col>17</xdr:col>
      <xdr:colOff>85883</xdr:colOff>
      <xdr:row>11</xdr:row>
      <xdr:rowOff>213837</xdr:rowOff>
    </xdr:to>
    <xdr:sp macro="" textlink="">
      <xdr:nvSpPr>
        <xdr:cNvPr id="1609" name="Arrow: Up 24">
          <a:extLst>
            <a:ext uri="{FF2B5EF4-FFF2-40B4-BE49-F238E27FC236}">
              <a16:creationId xmlns:a16="http://schemas.microsoft.com/office/drawing/2014/main" id="{FCBCAAD6-74F6-4C99-BE41-39669D666BCD}"/>
            </a:ext>
          </a:extLst>
        </xdr:cNvPr>
        <xdr:cNvSpPr/>
      </xdr:nvSpPr>
      <xdr:spPr>
        <a:xfrm rot="10800000">
          <a:off x="13317469" y="3104902"/>
          <a:ext cx="76200" cy="173264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9683</xdr:colOff>
      <xdr:row>14</xdr:row>
      <xdr:rowOff>54493</xdr:rowOff>
    </xdr:from>
    <xdr:to>
      <xdr:col>17</xdr:col>
      <xdr:colOff>85883</xdr:colOff>
      <xdr:row>14</xdr:row>
      <xdr:rowOff>206893</xdr:rowOff>
    </xdr:to>
    <xdr:sp macro="" textlink="">
      <xdr:nvSpPr>
        <xdr:cNvPr id="1643" name="Arrow: Up 25">
          <a:extLst>
            <a:ext uri="{FF2B5EF4-FFF2-40B4-BE49-F238E27FC236}">
              <a16:creationId xmlns:a16="http://schemas.microsoft.com/office/drawing/2014/main" id="{43D0EDF1-9BB5-4D33-BF2A-A76FCCFBAB9F}"/>
            </a:ext>
          </a:extLst>
        </xdr:cNvPr>
        <xdr:cNvSpPr/>
      </xdr:nvSpPr>
      <xdr:spPr>
        <a:xfrm rot="10800000">
          <a:off x="13317469" y="3810064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11271</xdr:colOff>
      <xdr:row>16</xdr:row>
      <xdr:rowOff>49400</xdr:rowOff>
    </xdr:from>
    <xdr:to>
      <xdr:col>17</xdr:col>
      <xdr:colOff>84296</xdr:colOff>
      <xdr:row>16</xdr:row>
      <xdr:rowOff>206282</xdr:rowOff>
    </xdr:to>
    <xdr:sp macro="" textlink="">
      <xdr:nvSpPr>
        <xdr:cNvPr id="1647" name="Arrow: Up 26">
          <a:extLst>
            <a:ext uri="{FF2B5EF4-FFF2-40B4-BE49-F238E27FC236}">
              <a16:creationId xmlns:a16="http://schemas.microsoft.com/office/drawing/2014/main" id="{C3BFE2C1-F4C3-480D-A3A8-285B5F518102}"/>
            </a:ext>
          </a:extLst>
        </xdr:cNvPr>
        <xdr:cNvSpPr/>
      </xdr:nvSpPr>
      <xdr:spPr>
        <a:xfrm rot="10800000">
          <a:off x="13319057" y="4316600"/>
          <a:ext cx="73025" cy="156882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8010</xdr:colOff>
      <xdr:row>19</xdr:row>
      <xdr:rowOff>18485</xdr:rowOff>
    </xdr:from>
    <xdr:to>
      <xdr:col>17</xdr:col>
      <xdr:colOff>95640</xdr:colOff>
      <xdr:row>19</xdr:row>
      <xdr:rowOff>197101</xdr:rowOff>
    </xdr:to>
    <xdr:sp macro="" textlink="">
      <xdr:nvSpPr>
        <xdr:cNvPr id="1473" name="Arrow: Up 30">
          <a:extLst>
            <a:ext uri="{FF2B5EF4-FFF2-40B4-BE49-F238E27FC236}">
              <a16:creationId xmlns:a16="http://schemas.microsoft.com/office/drawing/2014/main" id="{7C3CB620-B869-4D0C-B100-833BDC299277}"/>
            </a:ext>
          </a:extLst>
        </xdr:cNvPr>
        <xdr:cNvSpPr/>
      </xdr:nvSpPr>
      <xdr:spPr>
        <a:xfrm rot="10800000">
          <a:off x="13335539" y="4993897"/>
          <a:ext cx="87630" cy="17861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25172</xdr:colOff>
      <xdr:row>32</xdr:row>
      <xdr:rowOff>57034</xdr:rowOff>
    </xdr:from>
    <xdr:to>
      <xdr:col>17</xdr:col>
      <xdr:colOff>101372</xdr:colOff>
      <xdr:row>32</xdr:row>
      <xdr:rowOff>209434</xdr:rowOff>
    </xdr:to>
    <xdr:sp macro="" textlink="">
      <xdr:nvSpPr>
        <xdr:cNvPr id="1674" name="Up Arrow 10">
          <a:extLst>
            <a:ext uri="{FF2B5EF4-FFF2-40B4-BE49-F238E27FC236}">
              <a16:creationId xmlns:a16="http://schemas.microsoft.com/office/drawing/2014/main" id="{9462874C-136C-4D69-A5BE-AD9E41DD0D20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 rot="10800000">
          <a:off x="13402505" y="8110951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50008</xdr:colOff>
      <xdr:row>24</xdr:row>
      <xdr:rowOff>61589</xdr:rowOff>
    </xdr:from>
    <xdr:to>
      <xdr:col>17</xdr:col>
      <xdr:colOff>134463</xdr:colOff>
      <xdr:row>24</xdr:row>
      <xdr:rowOff>209544</xdr:rowOff>
    </xdr:to>
    <xdr:sp macro="" textlink="">
      <xdr:nvSpPr>
        <xdr:cNvPr id="13" name="Arrow: Up 28">
          <a:extLst>
            <a:ext uri="{FF2B5EF4-FFF2-40B4-BE49-F238E27FC236}">
              <a16:creationId xmlns:a16="http://schemas.microsoft.com/office/drawing/2014/main" id="{60A85875-F5FE-49BE-A154-B5BE85D8018C}"/>
            </a:ext>
          </a:extLst>
        </xdr:cNvPr>
        <xdr:cNvSpPr/>
      </xdr:nvSpPr>
      <xdr:spPr>
        <a:xfrm rot="10800000">
          <a:off x="17060071" y="5681339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56342</xdr:colOff>
      <xdr:row>13</xdr:row>
      <xdr:rowOff>22841</xdr:rowOff>
    </xdr:from>
    <xdr:to>
      <xdr:col>5</xdr:col>
      <xdr:colOff>122474</xdr:colOff>
      <xdr:row>14</xdr:row>
      <xdr:rowOff>489</xdr:rowOff>
    </xdr:to>
    <xdr:sp macro="" textlink="">
      <xdr:nvSpPr>
        <xdr:cNvPr id="1559" name="Up Arrow 10">
          <a:extLst>
            <a:ext uri="{FF2B5EF4-FFF2-40B4-BE49-F238E27FC236}">
              <a16:creationId xmlns:a16="http://schemas.microsoft.com/office/drawing/2014/main" id="{55FDE075-CE67-447D-B5ED-5B9B19A7BFD4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063771" y="3598798"/>
          <a:ext cx="66132" cy="157262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67859</xdr:colOff>
      <xdr:row>32</xdr:row>
      <xdr:rowOff>65452</xdr:rowOff>
    </xdr:from>
    <xdr:to>
      <xdr:col>5</xdr:col>
      <xdr:colOff>133991</xdr:colOff>
      <xdr:row>32</xdr:row>
      <xdr:rowOff>220900</xdr:rowOff>
    </xdr:to>
    <xdr:sp macro="" textlink="">
      <xdr:nvSpPr>
        <xdr:cNvPr id="1563" name="Up Arrow 10">
          <a:extLst>
            <a:ext uri="{FF2B5EF4-FFF2-40B4-BE49-F238E27FC236}">
              <a16:creationId xmlns:a16="http://schemas.microsoft.com/office/drawing/2014/main" id="{4E362706-8FC1-492C-88F0-BE090B03C9DC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 rot="10800000">
          <a:off x="5094942" y="8119369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67859</xdr:colOff>
      <xdr:row>23</xdr:row>
      <xdr:rowOff>74977</xdr:rowOff>
    </xdr:from>
    <xdr:to>
      <xdr:col>5</xdr:col>
      <xdr:colOff>133991</xdr:colOff>
      <xdr:row>23</xdr:row>
      <xdr:rowOff>230425</xdr:rowOff>
    </xdr:to>
    <xdr:sp macro="" textlink="">
      <xdr:nvSpPr>
        <xdr:cNvPr id="1567" name="Up Arrow 10">
          <a:extLst>
            <a:ext uri="{FF2B5EF4-FFF2-40B4-BE49-F238E27FC236}">
              <a16:creationId xmlns:a16="http://schemas.microsoft.com/office/drawing/2014/main" id="{846163EA-6A15-4387-A4A9-5426415F4781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081473" y="6179636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74209</xdr:colOff>
      <xdr:row>24</xdr:row>
      <xdr:rowOff>70895</xdr:rowOff>
    </xdr:from>
    <xdr:to>
      <xdr:col>5</xdr:col>
      <xdr:colOff>140341</xdr:colOff>
      <xdr:row>24</xdr:row>
      <xdr:rowOff>226343</xdr:rowOff>
    </xdr:to>
    <xdr:sp macro="" textlink="">
      <xdr:nvSpPr>
        <xdr:cNvPr id="4" name="Up Arrow 10">
          <a:extLst>
            <a:ext uri="{FF2B5EF4-FFF2-40B4-BE49-F238E27FC236}">
              <a16:creationId xmlns:a16="http://schemas.microsoft.com/office/drawing/2014/main" id="{C9631105-FAC6-4708-9C1C-53A63D826F0C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087823" y="6435327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74209</xdr:colOff>
      <xdr:row>25</xdr:row>
      <xdr:rowOff>53207</xdr:rowOff>
    </xdr:from>
    <xdr:to>
      <xdr:col>5</xdr:col>
      <xdr:colOff>140341</xdr:colOff>
      <xdr:row>25</xdr:row>
      <xdr:rowOff>208655</xdr:rowOff>
    </xdr:to>
    <xdr:sp macro="" textlink="">
      <xdr:nvSpPr>
        <xdr:cNvPr id="1562" name="Up Arrow 10">
          <a:extLst>
            <a:ext uri="{FF2B5EF4-FFF2-40B4-BE49-F238E27FC236}">
              <a16:creationId xmlns:a16="http://schemas.microsoft.com/office/drawing/2014/main" id="{44645C2E-769D-4400-A1CA-8DF8EE56102B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087823" y="6677412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50627</xdr:colOff>
      <xdr:row>10</xdr:row>
      <xdr:rowOff>74183</xdr:rowOff>
    </xdr:from>
    <xdr:to>
      <xdr:col>5</xdr:col>
      <xdr:colOff>128189</xdr:colOff>
      <xdr:row>10</xdr:row>
      <xdr:rowOff>240426</xdr:rowOff>
    </xdr:to>
    <xdr:sp macro="" textlink="">
      <xdr:nvSpPr>
        <xdr:cNvPr id="1550" name="Arrow: Up 35">
          <a:extLst>
            <a:ext uri="{FF2B5EF4-FFF2-40B4-BE49-F238E27FC236}">
              <a16:creationId xmlns:a16="http://schemas.microsoft.com/office/drawing/2014/main" id="{3953F8AB-49AC-4F72-A290-83839DE653DE}"/>
            </a:ext>
          </a:extLst>
        </xdr:cNvPr>
        <xdr:cNvSpPr/>
      </xdr:nvSpPr>
      <xdr:spPr>
        <a:xfrm rot="10800000">
          <a:off x="5058056" y="2833712"/>
          <a:ext cx="77562" cy="166243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49357</xdr:colOff>
      <xdr:row>11</xdr:row>
      <xdr:rowOff>53926</xdr:rowOff>
    </xdr:from>
    <xdr:to>
      <xdr:col>5</xdr:col>
      <xdr:colOff>129459</xdr:colOff>
      <xdr:row>11</xdr:row>
      <xdr:rowOff>200484</xdr:rowOff>
    </xdr:to>
    <xdr:sp macro="" textlink="">
      <xdr:nvSpPr>
        <xdr:cNvPr id="1552" name="Arrow: Up 35">
          <a:extLst>
            <a:ext uri="{FF2B5EF4-FFF2-40B4-BE49-F238E27FC236}">
              <a16:creationId xmlns:a16="http://schemas.microsoft.com/office/drawing/2014/main" id="{69CB832C-E5E3-4DDA-A1FC-756ED773A818}"/>
            </a:ext>
          </a:extLst>
        </xdr:cNvPr>
        <xdr:cNvSpPr/>
      </xdr:nvSpPr>
      <xdr:spPr>
        <a:xfrm rot="10800000">
          <a:off x="5056786" y="3118255"/>
          <a:ext cx="80102" cy="14655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52215</xdr:colOff>
      <xdr:row>16</xdr:row>
      <xdr:rowOff>47876</xdr:rowOff>
    </xdr:from>
    <xdr:to>
      <xdr:col>5</xdr:col>
      <xdr:colOff>126602</xdr:colOff>
      <xdr:row>16</xdr:row>
      <xdr:rowOff>207806</xdr:rowOff>
    </xdr:to>
    <xdr:sp macro="" textlink="">
      <xdr:nvSpPr>
        <xdr:cNvPr id="1553" name="Arrow: Up 35">
          <a:extLst>
            <a:ext uri="{FF2B5EF4-FFF2-40B4-BE49-F238E27FC236}">
              <a16:creationId xmlns:a16="http://schemas.microsoft.com/office/drawing/2014/main" id="{DF126CE7-BDF6-477F-BB69-830391804CB7}"/>
            </a:ext>
          </a:extLst>
        </xdr:cNvPr>
        <xdr:cNvSpPr/>
      </xdr:nvSpPr>
      <xdr:spPr>
        <a:xfrm rot="10800000">
          <a:off x="5059644" y="4315076"/>
          <a:ext cx="74387" cy="15993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57001</xdr:colOff>
      <xdr:row>21</xdr:row>
      <xdr:rowOff>32999</xdr:rowOff>
    </xdr:from>
    <xdr:to>
      <xdr:col>5</xdr:col>
      <xdr:colOff>134563</xdr:colOff>
      <xdr:row>21</xdr:row>
      <xdr:rowOff>188447</xdr:rowOff>
    </xdr:to>
    <xdr:sp macro="" textlink="">
      <xdr:nvSpPr>
        <xdr:cNvPr id="1556" name="Arrow: Up 35">
          <a:extLst>
            <a:ext uri="{FF2B5EF4-FFF2-40B4-BE49-F238E27FC236}">
              <a16:creationId xmlns:a16="http://schemas.microsoft.com/office/drawing/2014/main" id="{0B5DF263-8AD9-4303-94F4-F5D98DA5A6BF}"/>
            </a:ext>
          </a:extLst>
        </xdr:cNvPr>
        <xdr:cNvSpPr/>
      </xdr:nvSpPr>
      <xdr:spPr>
        <a:xfrm rot="10800000">
          <a:off x="5070615" y="5618113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37932</xdr:colOff>
      <xdr:row>14</xdr:row>
      <xdr:rowOff>57933</xdr:rowOff>
    </xdr:from>
    <xdr:to>
      <xdr:col>5</xdr:col>
      <xdr:colOff>140885</xdr:colOff>
      <xdr:row>14</xdr:row>
      <xdr:rowOff>203453</xdr:rowOff>
    </xdr:to>
    <xdr:sp macro="" textlink="">
      <xdr:nvSpPr>
        <xdr:cNvPr id="1488" name="Minus Sign 3">
          <a:extLst>
            <a:ext uri="{FF2B5EF4-FFF2-40B4-BE49-F238E27FC236}">
              <a16:creationId xmlns:a16="http://schemas.microsoft.com/office/drawing/2014/main" id="{DCEE6E76-EAF9-4AF8-94ED-FBE58FE46591}"/>
            </a:ext>
          </a:extLst>
        </xdr:cNvPr>
        <xdr:cNvSpPr/>
      </xdr:nvSpPr>
      <xdr:spPr>
        <a:xfrm>
          <a:off x="5045361" y="3813504"/>
          <a:ext cx="102953" cy="145520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40872</xdr:colOff>
      <xdr:row>19</xdr:row>
      <xdr:rowOff>40822</xdr:rowOff>
    </xdr:from>
    <xdr:to>
      <xdr:col>5</xdr:col>
      <xdr:colOff>142183</xdr:colOff>
      <xdr:row>19</xdr:row>
      <xdr:rowOff>186342</xdr:rowOff>
    </xdr:to>
    <xdr:sp macro="" textlink="">
      <xdr:nvSpPr>
        <xdr:cNvPr id="1502" name="Minus Sign 3">
          <a:extLst>
            <a:ext uri="{FF2B5EF4-FFF2-40B4-BE49-F238E27FC236}">
              <a16:creationId xmlns:a16="http://schemas.microsoft.com/office/drawing/2014/main" id="{30A94FB5-1AC6-4D36-A159-4AC191DC2498}"/>
            </a:ext>
          </a:extLst>
        </xdr:cNvPr>
        <xdr:cNvSpPr/>
      </xdr:nvSpPr>
      <xdr:spPr>
        <a:xfrm>
          <a:off x="5054486" y="5106390"/>
          <a:ext cx="101311" cy="145520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61509</xdr:colOff>
      <xdr:row>18</xdr:row>
      <xdr:rowOff>36877</xdr:rowOff>
    </xdr:from>
    <xdr:to>
      <xdr:col>5</xdr:col>
      <xdr:colOff>127641</xdr:colOff>
      <xdr:row>18</xdr:row>
      <xdr:rowOff>192325</xdr:rowOff>
    </xdr:to>
    <xdr:sp macro="" textlink="">
      <xdr:nvSpPr>
        <xdr:cNvPr id="1560" name="Up Arrow 10">
          <a:extLst>
            <a:ext uri="{FF2B5EF4-FFF2-40B4-BE49-F238E27FC236}">
              <a16:creationId xmlns:a16="http://schemas.microsoft.com/office/drawing/2014/main" id="{56DB43A8-46CA-4D29-8136-62698069C726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075123" y="4842672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67859</xdr:colOff>
      <xdr:row>20</xdr:row>
      <xdr:rowOff>15106</xdr:rowOff>
    </xdr:from>
    <xdr:to>
      <xdr:col>5</xdr:col>
      <xdr:colOff>133991</xdr:colOff>
      <xdr:row>20</xdr:row>
      <xdr:rowOff>170554</xdr:rowOff>
    </xdr:to>
    <xdr:sp macro="" textlink="">
      <xdr:nvSpPr>
        <xdr:cNvPr id="1555" name="Up Arrow 10">
          <a:extLst>
            <a:ext uri="{FF2B5EF4-FFF2-40B4-BE49-F238E27FC236}">
              <a16:creationId xmlns:a16="http://schemas.microsoft.com/office/drawing/2014/main" id="{2B54E497-017F-48EA-9A02-B79D2AA77254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081473" y="5340447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84965</xdr:colOff>
      <xdr:row>10</xdr:row>
      <xdr:rowOff>77567</xdr:rowOff>
    </xdr:from>
    <xdr:to>
      <xdr:col>20</xdr:col>
      <xdr:colOff>152910</xdr:colOff>
      <xdr:row>10</xdr:row>
      <xdr:rowOff>237043</xdr:rowOff>
    </xdr:to>
    <xdr:sp macro="" textlink="">
      <xdr:nvSpPr>
        <xdr:cNvPr id="1604" name="Arrow: Up 24">
          <a:extLst>
            <a:ext uri="{FF2B5EF4-FFF2-40B4-BE49-F238E27FC236}">
              <a16:creationId xmlns:a16="http://schemas.microsoft.com/office/drawing/2014/main" id="{5BF8065E-7A49-41E5-8132-2745FBFFE033}"/>
            </a:ext>
          </a:extLst>
        </xdr:cNvPr>
        <xdr:cNvSpPr/>
      </xdr:nvSpPr>
      <xdr:spPr>
        <a:xfrm rot="10800000">
          <a:off x="14562965" y="2837096"/>
          <a:ext cx="67945" cy="15947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80837</xdr:colOff>
      <xdr:row>11</xdr:row>
      <xdr:rowOff>46878</xdr:rowOff>
    </xdr:from>
    <xdr:to>
      <xdr:col>20</xdr:col>
      <xdr:colOff>157037</xdr:colOff>
      <xdr:row>11</xdr:row>
      <xdr:rowOff>207533</xdr:rowOff>
    </xdr:to>
    <xdr:sp macro="" textlink="">
      <xdr:nvSpPr>
        <xdr:cNvPr id="1608" name="Arrow: Up 25">
          <a:extLst>
            <a:ext uri="{FF2B5EF4-FFF2-40B4-BE49-F238E27FC236}">
              <a16:creationId xmlns:a16="http://schemas.microsoft.com/office/drawing/2014/main" id="{683F8B52-C79B-49CA-8BCA-3DF93D7033EB}"/>
            </a:ext>
          </a:extLst>
        </xdr:cNvPr>
        <xdr:cNvSpPr/>
      </xdr:nvSpPr>
      <xdr:spPr>
        <a:xfrm rot="10800000">
          <a:off x="14558837" y="3111207"/>
          <a:ext cx="76200" cy="16065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75122</xdr:colOff>
      <xdr:row>14</xdr:row>
      <xdr:rowOff>58938</xdr:rowOff>
    </xdr:from>
    <xdr:to>
      <xdr:col>20</xdr:col>
      <xdr:colOff>162752</xdr:colOff>
      <xdr:row>14</xdr:row>
      <xdr:rowOff>202448</xdr:rowOff>
    </xdr:to>
    <xdr:sp macro="" textlink="">
      <xdr:nvSpPr>
        <xdr:cNvPr id="1629" name="Arrow: Up 25">
          <a:extLst>
            <a:ext uri="{FF2B5EF4-FFF2-40B4-BE49-F238E27FC236}">
              <a16:creationId xmlns:a16="http://schemas.microsoft.com/office/drawing/2014/main" id="{F5867422-23B5-4420-A1F9-C656D6EF8A79}"/>
            </a:ext>
          </a:extLst>
        </xdr:cNvPr>
        <xdr:cNvSpPr/>
      </xdr:nvSpPr>
      <xdr:spPr>
        <a:xfrm rot="10800000">
          <a:off x="14553122" y="3814509"/>
          <a:ext cx="87630" cy="14351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80837</xdr:colOff>
      <xdr:row>13</xdr:row>
      <xdr:rowOff>27313</xdr:rowOff>
    </xdr:from>
    <xdr:to>
      <xdr:col>20</xdr:col>
      <xdr:colOff>157037</xdr:colOff>
      <xdr:row>13</xdr:row>
      <xdr:rowOff>175631</xdr:rowOff>
    </xdr:to>
    <xdr:sp macro="" textlink="">
      <xdr:nvSpPr>
        <xdr:cNvPr id="1644" name="Up Arrow 10">
          <a:extLst>
            <a:ext uri="{FF2B5EF4-FFF2-40B4-BE49-F238E27FC236}">
              <a16:creationId xmlns:a16="http://schemas.microsoft.com/office/drawing/2014/main" id="{57ED5FB1-1296-4178-AD87-1FC684411D09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4558837" y="3603270"/>
          <a:ext cx="76200" cy="14831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108857</xdr:colOff>
      <xdr:row>32</xdr:row>
      <xdr:rowOff>61232</xdr:rowOff>
    </xdr:from>
    <xdr:to>
      <xdr:col>20</xdr:col>
      <xdr:colOff>185057</xdr:colOff>
      <xdr:row>32</xdr:row>
      <xdr:rowOff>213632</xdr:rowOff>
    </xdr:to>
    <xdr:sp macro="" textlink="">
      <xdr:nvSpPr>
        <xdr:cNvPr id="1673" name="Up Arrow 10">
          <a:extLst>
            <a:ext uri="{FF2B5EF4-FFF2-40B4-BE49-F238E27FC236}">
              <a16:creationId xmlns:a16="http://schemas.microsoft.com/office/drawing/2014/main" id="{DFB233F3-4434-464B-AF39-78939932CD43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 rot="10800000">
          <a:off x="14671524" y="8115149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214918</xdr:colOff>
      <xdr:row>34</xdr:row>
      <xdr:rowOff>147094</xdr:rowOff>
    </xdr:from>
    <xdr:to>
      <xdr:col>8</xdr:col>
      <xdr:colOff>147897</xdr:colOff>
      <xdr:row>37</xdr:row>
      <xdr:rowOff>193681</xdr:rowOff>
    </xdr:to>
    <xdr:sp macro="" textlink="">
      <xdr:nvSpPr>
        <xdr:cNvPr id="54" name="TextBox 183">
          <a:extLst>
            <a:ext uri="{FF2B5EF4-FFF2-40B4-BE49-F238E27FC236}">
              <a16:creationId xmlns:a16="http://schemas.microsoft.com/office/drawing/2014/main" id="{3EBBEA32-0404-7059-8D61-8FF5F8005333}"/>
            </a:ext>
          </a:extLst>
        </xdr:cNvPr>
        <xdr:cNvSpPr txBox="1"/>
      </xdr:nvSpPr>
      <xdr:spPr>
        <a:xfrm>
          <a:off x="214918" y="9100594"/>
          <a:ext cx="8343554" cy="903837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82803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5606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48410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31213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14016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896819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379622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62426" algn="l" defTabSz="965606" rtl="0" eaLnBrk="1" latinLnBrk="0" hangingPunct="1">
            <a:defRPr sz="1901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423605">
            <a:buClr>
              <a:schemeClr val="tx2">
                <a:lumMod val="75000"/>
              </a:schemeClr>
            </a:buClr>
            <a:defRPr/>
          </a:pPr>
          <a:r>
            <a:rPr lang="en-US" sz="800">
              <a:solidFill>
                <a:schemeClr val="tx2">
                  <a:lumMod val="50000"/>
                </a:schemeClr>
              </a:solidFill>
              <a:latin typeface="Proxima Nova Medium" panose="02000506030000020004" pitchFamily="2" charset="0"/>
            </a:rPr>
            <a:t>Notes:</a:t>
          </a:r>
        </a:p>
        <a:p>
          <a:pPr marL="182880" indent="-182880" defTabSz="423605">
            <a:buClr>
              <a:schemeClr val="tx2">
                <a:lumMod val="75000"/>
              </a:schemeClr>
            </a:buClr>
            <a:buFont typeface="+mj-lt"/>
            <a:buAutoNum type="arabicPeriod"/>
            <a:defRPr/>
          </a:pPr>
          <a:r>
            <a:rPr lang="en-US" sz="800" kern="0">
              <a:solidFill>
                <a:schemeClr val="tx2">
                  <a:lumMod val="50000"/>
                </a:schemeClr>
              </a:solidFill>
              <a:latin typeface="Proxima Nova Medium" panose="02000506030000020004" pitchFamily="2" charset="0"/>
            </a:rPr>
            <a:t>Trends are calculated based on a comparison to the prior report (March 2026 MTD) </a:t>
          </a:r>
        </a:p>
        <a:p>
          <a:pPr marL="182880" indent="-182880" defTabSz="423605">
            <a:buClr>
              <a:schemeClr val="tx2">
                <a:lumMod val="75000"/>
              </a:schemeClr>
            </a:buClr>
            <a:buFont typeface="+mj-lt"/>
            <a:buAutoNum type="arabicPeriod"/>
            <a:defRPr/>
          </a:pPr>
          <a:r>
            <a:rPr lang="en-US" sz="800" kern="0">
              <a:solidFill>
                <a:schemeClr val="tx2">
                  <a:lumMod val="50000"/>
                </a:schemeClr>
              </a:solidFill>
              <a:latin typeface="Proxima Nova Medium" panose="02000506030000020004" pitchFamily="2" charset="0"/>
            </a:rPr>
            <a:t>ED LTR for PHD represents the LTR for Centra Care</a:t>
          </a:r>
        </a:p>
        <a:p>
          <a:pPr marL="182880" indent="-182880" defTabSz="423605">
            <a:buClr>
              <a:schemeClr val="tx2">
                <a:lumMod val="75000"/>
              </a:schemeClr>
            </a:buClr>
            <a:buFont typeface="+mj-lt"/>
            <a:buAutoNum type="arabicPeriod"/>
            <a:defRPr/>
          </a:pPr>
          <a:r>
            <a:rPr lang="en-US" sz="800" kern="0">
              <a:solidFill>
                <a:schemeClr val="tx2">
                  <a:lumMod val="50000"/>
                </a:schemeClr>
              </a:solidFill>
              <a:latin typeface="Proxima Nova Medium" panose="02000506030000020004" pitchFamily="2" charset="0"/>
            </a:rPr>
            <a:t>Metrics without red/yellow/green stoplight do not currently have an established target that was available</a:t>
          </a:r>
        </a:p>
        <a:p>
          <a:pPr marL="182880" indent="-182880" defTabSz="423605">
            <a:buClr>
              <a:schemeClr val="tx2">
                <a:lumMod val="75000"/>
              </a:schemeClr>
            </a:buClr>
            <a:buFont typeface="+mj-lt"/>
            <a:buAutoNum type="arabicPeriod"/>
            <a:defRPr/>
          </a:pPr>
          <a:r>
            <a:rPr lang="en-US" sz="800" kern="0">
              <a:solidFill>
                <a:schemeClr val="tx2">
                  <a:lumMod val="50000"/>
                </a:schemeClr>
              </a:solidFill>
              <a:latin typeface="Proxima Nova Medium" panose="02000506030000020004" pitchFamily="2" charset="0"/>
            </a:rPr>
            <a:t>Metrics without trending indicate this is either the first time we are tracking this metric or we have changed the way we are measuring it</a:t>
          </a:r>
        </a:p>
        <a:p>
          <a:pPr marL="182880" indent="-182880" defTabSz="423605">
            <a:buClr>
              <a:schemeClr val="tx2">
                <a:lumMod val="75000"/>
              </a:schemeClr>
            </a:buClr>
            <a:buFont typeface="+mj-lt"/>
            <a:buAutoNum type="arabicPeriod"/>
            <a:defRPr/>
          </a:pPr>
          <a:r>
            <a:rPr lang="en-US" sz="800" kern="0">
              <a:solidFill>
                <a:schemeClr val="tx2">
                  <a:lumMod val="50000"/>
                </a:schemeClr>
              </a:solidFill>
              <a:latin typeface="Proxima Nova Medium" panose="02000506030000020004" pitchFamily="2" charset="0"/>
            </a:rPr>
            <a:t>Metrics that are greyed out either have yet to be established or do not yet have data available</a:t>
          </a:r>
        </a:p>
        <a:p>
          <a:pPr marL="182880" indent="-182880" defTabSz="423605">
            <a:buClr>
              <a:schemeClr val="tx2">
                <a:lumMod val="75000"/>
              </a:schemeClr>
            </a:buClr>
            <a:buFont typeface="+mj-lt"/>
            <a:buAutoNum type="arabicPeriod"/>
            <a:defRPr/>
          </a:pPr>
          <a:r>
            <a:rPr lang="en-US" sz="800" kern="0">
              <a:solidFill>
                <a:schemeClr val="tx2">
                  <a:lumMod val="50000"/>
                </a:schemeClr>
              </a:solidFill>
              <a:latin typeface="Proxima Nova Medium" panose="02000506030000020004" pitchFamily="2" charset="0"/>
            </a:rPr>
            <a:t>Blank entries indicate that the metric is not currently being reported for that division/facility or at that level</a:t>
          </a:r>
        </a:p>
      </xdr:txBody>
    </xdr:sp>
    <xdr:clientData/>
  </xdr:twoCellAnchor>
  <xdr:twoCellAnchor>
    <xdr:from>
      <xdr:col>5</xdr:col>
      <xdr:colOff>38054</xdr:colOff>
      <xdr:row>9</xdr:row>
      <xdr:rowOff>59506</xdr:rowOff>
    </xdr:from>
    <xdr:to>
      <xdr:col>5</xdr:col>
      <xdr:colOff>140762</xdr:colOff>
      <xdr:row>9</xdr:row>
      <xdr:rowOff>205026</xdr:rowOff>
    </xdr:to>
    <xdr:sp macro="" textlink="">
      <xdr:nvSpPr>
        <xdr:cNvPr id="5" name="Minus Sign 3">
          <a:extLst>
            <a:ext uri="{FF2B5EF4-FFF2-40B4-BE49-F238E27FC236}">
              <a16:creationId xmlns:a16="http://schemas.microsoft.com/office/drawing/2014/main" id="{E3ACED7E-6CF1-4BF6-85AB-6D57D37B3B6B}"/>
            </a:ext>
          </a:extLst>
        </xdr:cNvPr>
        <xdr:cNvSpPr/>
      </xdr:nvSpPr>
      <xdr:spPr>
        <a:xfrm>
          <a:off x="5045483" y="2563220"/>
          <a:ext cx="102708" cy="145520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69243</xdr:colOff>
      <xdr:row>26</xdr:row>
      <xdr:rowOff>52752</xdr:rowOff>
    </xdr:from>
    <xdr:to>
      <xdr:col>8</xdr:col>
      <xdr:colOff>151539</xdr:colOff>
      <xdr:row>26</xdr:row>
      <xdr:rowOff>208200</xdr:rowOff>
    </xdr:to>
    <xdr:sp macro="" textlink="">
      <xdr:nvSpPr>
        <xdr:cNvPr id="1359" name="Up Arrow 10">
          <a:extLst>
            <a:ext uri="{FF2B5EF4-FFF2-40B4-BE49-F238E27FC236}">
              <a16:creationId xmlns:a16="http://schemas.microsoft.com/office/drawing/2014/main" id="{AE2B39A7-8E8E-75F8-B4AA-E8B283284634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7346343" y="6809152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80559</xdr:colOff>
      <xdr:row>26</xdr:row>
      <xdr:rowOff>45357</xdr:rowOff>
    </xdr:from>
    <xdr:to>
      <xdr:col>5</xdr:col>
      <xdr:colOff>146691</xdr:colOff>
      <xdr:row>26</xdr:row>
      <xdr:rowOff>200805</xdr:rowOff>
    </xdr:to>
    <xdr:sp macro="" textlink="">
      <xdr:nvSpPr>
        <xdr:cNvPr id="26" name="Up Arrow 10">
          <a:extLst>
            <a:ext uri="{FF2B5EF4-FFF2-40B4-BE49-F238E27FC236}">
              <a16:creationId xmlns:a16="http://schemas.microsoft.com/office/drawing/2014/main" id="{CD977E10-8B3E-4DBF-9013-11D082C6CABD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094173" y="6929334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18143</xdr:colOff>
      <xdr:row>23</xdr:row>
      <xdr:rowOff>65344</xdr:rowOff>
    </xdr:from>
    <xdr:to>
      <xdr:col>17</xdr:col>
      <xdr:colOff>199118</xdr:colOff>
      <xdr:row>23</xdr:row>
      <xdr:rowOff>208219</xdr:rowOff>
    </xdr:to>
    <xdr:sp macro="" textlink="">
      <xdr:nvSpPr>
        <xdr:cNvPr id="1362" name="Minus Sign 3">
          <a:extLst>
            <a:ext uri="{FF2B5EF4-FFF2-40B4-BE49-F238E27FC236}">
              <a16:creationId xmlns:a16="http://schemas.microsoft.com/office/drawing/2014/main" id="{1ECF8E3F-2F63-55AC-B3DB-70C87A3EE12D}"/>
            </a:ext>
          </a:extLst>
        </xdr:cNvPr>
        <xdr:cNvSpPr/>
      </xdr:nvSpPr>
      <xdr:spPr>
        <a:xfrm>
          <a:off x="12772572" y="6106915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47200</xdr:colOff>
      <xdr:row>9</xdr:row>
      <xdr:rowOff>50143</xdr:rowOff>
    </xdr:from>
    <xdr:to>
      <xdr:col>14</xdr:col>
      <xdr:colOff>126956</xdr:colOff>
      <xdr:row>9</xdr:row>
      <xdr:rowOff>214391</xdr:rowOff>
    </xdr:to>
    <xdr:sp macro="" textlink="">
      <xdr:nvSpPr>
        <xdr:cNvPr id="40" name="Arrow: Up 35">
          <a:extLst>
            <a:ext uri="{FF2B5EF4-FFF2-40B4-BE49-F238E27FC236}">
              <a16:creationId xmlns:a16="http://schemas.microsoft.com/office/drawing/2014/main" id="{AA3AFB35-64A9-42D2-8FB4-8833FA6BE198}"/>
            </a:ext>
          </a:extLst>
        </xdr:cNvPr>
        <xdr:cNvSpPr/>
      </xdr:nvSpPr>
      <xdr:spPr>
        <a:xfrm rot="10800000">
          <a:off x="11390114" y="2553857"/>
          <a:ext cx="79756" cy="1642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42163</xdr:colOff>
      <xdr:row>9</xdr:row>
      <xdr:rowOff>46876</xdr:rowOff>
    </xdr:from>
    <xdr:to>
      <xdr:col>11</xdr:col>
      <xdr:colOff>124459</xdr:colOff>
      <xdr:row>9</xdr:row>
      <xdr:rowOff>217656</xdr:rowOff>
    </xdr:to>
    <xdr:sp macro="" textlink="">
      <xdr:nvSpPr>
        <xdr:cNvPr id="20" name="Arrow: Up 35">
          <a:extLst>
            <a:ext uri="{FF2B5EF4-FFF2-40B4-BE49-F238E27FC236}">
              <a16:creationId xmlns:a16="http://schemas.microsoft.com/office/drawing/2014/main" id="{B92E647A-87B3-44DE-BA67-4C2A4FA29D72}"/>
            </a:ext>
          </a:extLst>
        </xdr:cNvPr>
        <xdr:cNvSpPr/>
      </xdr:nvSpPr>
      <xdr:spPr>
        <a:xfrm rot="10800000">
          <a:off x="9420206" y="2550590"/>
          <a:ext cx="82296" cy="17078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42163</xdr:colOff>
      <xdr:row>10</xdr:row>
      <xdr:rowOff>79581</xdr:rowOff>
    </xdr:from>
    <xdr:to>
      <xdr:col>11</xdr:col>
      <xdr:colOff>124459</xdr:colOff>
      <xdr:row>10</xdr:row>
      <xdr:rowOff>235029</xdr:rowOff>
    </xdr:to>
    <xdr:sp macro="" textlink="">
      <xdr:nvSpPr>
        <xdr:cNvPr id="21" name="Arrow: Up 35">
          <a:extLst>
            <a:ext uri="{FF2B5EF4-FFF2-40B4-BE49-F238E27FC236}">
              <a16:creationId xmlns:a16="http://schemas.microsoft.com/office/drawing/2014/main" id="{99EC5FDD-825E-43D4-81A4-071448004C33}"/>
            </a:ext>
          </a:extLst>
        </xdr:cNvPr>
        <xdr:cNvSpPr/>
      </xdr:nvSpPr>
      <xdr:spPr>
        <a:xfrm rot="10800000">
          <a:off x="9420206" y="2839110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39548</xdr:colOff>
      <xdr:row>32</xdr:row>
      <xdr:rowOff>58999</xdr:rowOff>
    </xdr:from>
    <xdr:to>
      <xdr:col>11</xdr:col>
      <xdr:colOff>158420</xdr:colOff>
      <xdr:row>32</xdr:row>
      <xdr:rowOff>205303</xdr:rowOff>
    </xdr:to>
    <xdr:sp macro="" textlink="">
      <xdr:nvSpPr>
        <xdr:cNvPr id="22" name="Minus Sign 3">
          <a:extLst>
            <a:ext uri="{FF2B5EF4-FFF2-40B4-BE49-F238E27FC236}">
              <a16:creationId xmlns:a16="http://schemas.microsoft.com/office/drawing/2014/main" id="{28FF1013-A76E-43A2-9445-318DB603CFE2}"/>
            </a:ext>
          </a:extLst>
        </xdr:cNvPr>
        <xdr:cNvSpPr/>
      </xdr:nvSpPr>
      <xdr:spPr>
        <a:xfrm>
          <a:off x="9458715" y="8112916"/>
          <a:ext cx="118872" cy="146304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63500</xdr:colOff>
      <xdr:row>25</xdr:row>
      <xdr:rowOff>42334</xdr:rowOff>
    </xdr:from>
    <xdr:to>
      <xdr:col>8</xdr:col>
      <xdr:colOff>182372</xdr:colOff>
      <xdr:row>25</xdr:row>
      <xdr:rowOff>188638</xdr:rowOff>
    </xdr:to>
    <xdr:sp macro="" textlink="">
      <xdr:nvSpPr>
        <xdr:cNvPr id="23" name="Minus Sign 3">
          <a:extLst>
            <a:ext uri="{FF2B5EF4-FFF2-40B4-BE49-F238E27FC236}">
              <a16:creationId xmlns:a16="http://schemas.microsoft.com/office/drawing/2014/main" id="{96765019-6018-41FA-B330-C25216392498}"/>
            </a:ext>
          </a:extLst>
        </xdr:cNvPr>
        <xdr:cNvSpPr/>
      </xdr:nvSpPr>
      <xdr:spPr>
        <a:xfrm>
          <a:off x="7503583" y="6572251"/>
          <a:ext cx="118872" cy="146304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52916</xdr:colOff>
      <xdr:row>26</xdr:row>
      <xdr:rowOff>52916</xdr:rowOff>
    </xdr:from>
    <xdr:to>
      <xdr:col>14</xdr:col>
      <xdr:colOff>135212</xdr:colOff>
      <xdr:row>26</xdr:row>
      <xdr:rowOff>208364</xdr:rowOff>
    </xdr:to>
    <xdr:sp macro="" textlink="">
      <xdr:nvSpPr>
        <xdr:cNvPr id="6" name="Up Arrow 10">
          <a:extLst>
            <a:ext uri="{FF2B5EF4-FFF2-40B4-BE49-F238E27FC236}">
              <a16:creationId xmlns:a16="http://schemas.microsoft.com/office/drawing/2014/main" id="{E3AE97E7-311C-4746-8189-18FC763F5F1E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1451166" y="6836833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69243</xdr:colOff>
      <xdr:row>27</xdr:row>
      <xdr:rowOff>52752</xdr:rowOff>
    </xdr:from>
    <xdr:to>
      <xdr:col>8</xdr:col>
      <xdr:colOff>151539</xdr:colOff>
      <xdr:row>27</xdr:row>
      <xdr:rowOff>208200</xdr:rowOff>
    </xdr:to>
    <xdr:sp macro="" textlink="">
      <xdr:nvSpPr>
        <xdr:cNvPr id="11" name="Up Arrow 10">
          <a:extLst>
            <a:ext uri="{FF2B5EF4-FFF2-40B4-BE49-F238E27FC236}">
              <a16:creationId xmlns:a16="http://schemas.microsoft.com/office/drawing/2014/main" id="{4AE195DF-FC91-400F-9E9B-F34FC161440D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7509326" y="7090669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80559</xdr:colOff>
      <xdr:row>27</xdr:row>
      <xdr:rowOff>45357</xdr:rowOff>
    </xdr:from>
    <xdr:to>
      <xdr:col>5</xdr:col>
      <xdr:colOff>146691</xdr:colOff>
      <xdr:row>27</xdr:row>
      <xdr:rowOff>200805</xdr:rowOff>
    </xdr:to>
    <xdr:sp macro="" textlink="">
      <xdr:nvSpPr>
        <xdr:cNvPr id="14" name="Up Arrow 10">
          <a:extLst>
            <a:ext uri="{FF2B5EF4-FFF2-40B4-BE49-F238E27FC236}">
              <a16:creationId xmlns:a16="http://schemas.microsoft.com/office/drawing/2014/main" id="{6F48EF36-4FFD-42E8-8257-B7B7C86B7C92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107642" y="6829274"/>
          <a:ext cx="6613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9071</xdr:colOff>
      <xdr:row>25</xdr:row>
      <xdr:rowOff>45358</xdr:rowOff>
    </xdr:from>
    <xdr:to>
      <xdr:col>17</xdr:col>
      <xdr:colOff>190046</xdr:colOff>
      <xdr:row>25</xdr:row>
      <xdr:rowOff>188233</xdr:rowOff>
    </xdr:to>
    <xdr:sp macro="" textlink="">
      <xdr:nvSpPr>
        <xdr:cNvPr id="12" name="Minus Sign 3">
          <a:extLst>
            <a:ext uri="{FF2B5EF4-FFF2-40B4-BE49-F238E27FC236}">
              <a16:creationId xmlns:a16="http://schemas.microsoft.com/office/drawing/2014/main" id="{9C189907-5356-4546-857E-C7492369D542}"/>
            </a:ext>
          </a:extLst>
        </xdr:cNvPr>
        <xdr:cNvSpPr/>
      </xdr:nvSpPr>
      <xdr:spPr>
        <a:xfrm>
          <a:off x="12808857" y="6594929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18143</xdr:colOff>
      <xdr:row>26</xdr:row>
      <xdr:rowOff>54428</xdr:rowOff>
    </xdr:from>
    <xdr:to>
      <xdr:col>11</xdr:col>
      <xdr:colOff>137015</xdr:colOff>
      <xdr:row>26</xdr:row>
      <xdr:rowOff>200732</xdr:rowOff>
    </xdr:to>
    <xdr:sp macro="" textlink="">
      <xdr:nvSpPr>
        <xdr:cNvPr id="27" name="Minus Sign 3">
          <a:extLst>
            <a:ext uri="{FF2B5EF4-FFF2-40B4-BE49-F238E27FC236}">
              <a16:creationId xmlns:a16="http://schemas.microsoft.com/office/drawing/2014/main" id="{F3D7CB2F-8506-4033-B996-FB4D6B769BF8}"/>
            </a:ext>
          </a:extLst>
        </xdr:cNvPr>
        <xdr:cNvSpPr/>
      </xdr:nvSpPr>
      <xdr:spPr>
        <a:xfrm>
          <a:off x="9044214" y="6857999"/>
          <a:ext cx="118872" cy="146304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36286</xdr:colOff>
      <xdr:row>27</xdr:row>
      <xdr:rowOff>81642</xdr:rowOff>
    </xdr:from>
    <xdr:to>
      <xdr:col>11</xdr:col>
      <xdr:colOff>155158</xdr:colOff>
      <xdr:row>27</xdr:row>
      <xdr:rowOff>227946</xdr:rowOff>
    </xdr:to>
    <xdr:sp macro="" textlink="">
      <xdr:nvSpPr>
        <xdr:cNvPr id="31" name="Minus Sign 3">
          <a:extLst>
            <a:ext uri="{FF2B5EF4-FFF2-40B4-BE49-F238E27FC236}">
              <a16:creationId xmlns:a16="http://schemas.microsoft.com/office/drawing/2014/main" id="{5D5B3562-6947-42F8-A07D-ED1D35A2FCB2}"/>
            </a:ext>
          </a:extLst>
        </xdr:cNvPr>
        <xdr:cNvSpPr/>
      </xdr:nvSpPr>
      <xdr:spPr>
        <a:xfrm>
          <a:off x="9062357" y="7139213"/>
          <a:ext cx="118872" cy="146304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9071</xdr:colOff>
      <xdr:row>27</xdr:row>
      <xdr:rowOff>63500</xdr:rowOff>
    </xdr:from>
    <xdr:to>
      <xdr:col>14</xdr:col>
      <xdr:colOff>190046</xdr:colOff>
      <xdr:row>27</xdr:row>
      <xdr:rowOff>206375</xdr:rowOff>
    </xdr:to>
    <xdr:sp macro="" textlink="">
      <xdr:nvSpPr>
        <xdr:cNvPr id="33" name="Minus Sign 3">
          <a:extLst>
            <a:ext uri="{FF2B5EF4-FFF2-40B4-BE49-F238E27FC236}">
              <a16:creationId xmlns:a16="http://schemas.microsoft.com/office/drawing/2014/main" id="{47936661-DD30-4E36-8BEB-7A48CD193F38}"/>
            </a:ext>
          </a:extLst>
        </xdr:cNvPr>
        <xdr:cNvSpPr/>
      </xdr:nvSpPr>
      <xdr:spPr>
        <a:xfrm>
          <a:off x="10922000" y="7121071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72571</xdr:colOff>
      <xdr:row>26</xdr:row>
      <xdr:rowOff>54428</xdr:rowOff>
    </xdr:from>
    <xdr:to>
      <xdr:col>17</xdr:col>
      <xdr:colOff>136071</xdr:colOff>
      <xdr:row>26</xdr:row>
      <xdr:rowOff>206193</xdr:rowOff>
    </xdr:to>
    <xdr:sp macro="" textlink="">
      <xdr:nvSpPr>
        <xdr:cNvPr id="35" name="Arrow: Up 28">
          <a:extLst>
            <a:ext uri="{FF2B5EF4-FFF2-40B4-BE49-F238E27FC236}">
              <a16:creationId xmlns:a16="http://schemas.microsoft.com/office/drawing/2014/main" id="{1D100E19-6011-42C3-AD63-2F5E022DD7F5}"/>
            </a:ext>
          </a:extLst>
        </xdr:cNvPr>
        <xdr:cNvSpPr/>
      </xdr:nvSpPr>
      <xdr:spPr>
        <a:xfrm rot="10800000">
          <a:off x="12872357" y="6857999"/>
          <a:ext cx="73025" cy="15557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18143</xdr:colOff>
      <xdr:row>27</xdr:row>
      <xdr:rowOff>54428</xdr:rowOff>
    </xdr:from>
    <xdr:to>
      <xdr:col>17</xdr:col>
      <xdr:colOff>199118</xdr:colOff>
      <xdr:row>27</xdr:row>
      <xdr:rowOff>197303</xdr:rowOff>
    </xdr:to>
    <xdr:sp macro="" textlink="">
      <xdr:nvSpPr>
        <xdr:cNvPr id="37" name="Minus Sign 3">
          <a:extLst>
            <a:ext uri="{FF2B5EF4-FFF2-40B4-BE49-F238E27FC236}">
              <a16:creationId xmlns:a16="http://schemas.microsoft.com/office/drawing/2014/main" id="{12115081-5471-4B35-BB10-AAE67425F3D3}"/>
            </a:ext>
          </a:extLst>
        </xdr:cNvPr>
        <xdr:cNvSpPr/>
      </xdr:nvSpPr>
      <xdr:spPr>
        <a:xfrm>
          <a:off x="12817929" y="7111999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80837</xdr:colOff>
      <xdr:row>9</xdr:row>
      <xdr:rowOff>56066</xdr:rowOff>
    </xdr:from>
    <xdr:to>
      <xdr:col>20</xdr:col>
      <xdr:colOff>157037</xdr:colOff>
      <xdr:row>9</xdr:row>
      <xdr:rowOff>208466</xdr:rowOff>
    </xdr:to>
    <xdr:sp macro="" textlink="">
      <xdr:nvSpPr>
        <xdr:cNvPr id="43" name="Up Arrow 10">
          <a:extLst>
            <a:ext uri="{FF2B5EF4-FFF2-40B4-BE49-F238E27FC236}">
              <a16:creationId xmlns:a16="http://schemas.microsoft.com/office/drawing/2014/main" id="{AA571C7C-0C41-4D0D-BF16-4998CDA9F673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 rot="10800000">
          <a:off x="14558837" y="255978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50566</xdr:colOff>
      <xdr:row>16</xdr:row>
      <xdr:rowOff>49401</xdr:rowOff>
    </xdr:from>
    <xdr:to>
      <xdr:col>14</xdr:col>
      <xdr:colOff>123591</xdr:colOff>
      <xdr:row>16</xdr:row>
      <xdr:rowOff>206283</xdr:rowOff>
    </xdr:to>
    <xdr:sp macro="" textlink="">
      <xdr:nvSpPr>
        <xdr:cNvPr id="9" name="Arrow: Up 26">
          <a:extLst>
            <a:ext uri="{FF2B5EF4-FFF2-40B4-BE49-F238E27FC236}">
              <a16:creationId xmlns:a16="http://schemas.microsoft.com/office/drawing/2014/main" id="{3B9174BF-D5B0-4084-AA3B-39D79452DB69}"/>
            </a:ext>
          </a:extLst>
        </xdr:cNvPr>
        <xdr:cNvSpPr/>
      </xdr:nvSpPr>
      <xdr:spPr>
        <a:xfrm rot="10800000">
          <a:off x="11393480" y="4316601"/>
          <a:ext cx="73025" cy="156882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45211</xdr:colOff>
      <xdr:row>11</xdr:row>
      <xdr:rowOff>51005</xdr:rowOff>
    </xdr:from>
    <xdr:to>
      <xdr:col>11</xdr:col>
      <xdr:colOff>121411</xdr:colOff>
      <xdr:row>11</xdr:row>
      <xdr:rowOff>203405</xdr:rowOff>
    </xdr:to>
    <xdr:sp macro="" textlink="">
      <xdr:nvSpPr>
        <xdr:cNvPr id="15" name="Arrow: Up 24">
          <a:extLst>
            <a:ext uri="{FF2B5EF4-FFF2-40B4-BE49-F238E27FC236}">
              <a16:creationId xmlns:a16="http://schemas.microsoft.com/office/drawing/2014/main" id="{85B8A2F5-D5DC-474C-9B83-2761CEE11708}"/>
            </a:ext>
          </a:extLst>
        </xdr:cNvPr>
        <xdr:cNvSpPr/>
      </xdr:nvSpPr>
      <xdr:spPr>
        <a:xfrm rot="10800000">
          <a:off x="9423254" y="3115334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82425</xdr:colOff>
      <xdr:row>16</xdr:row>
      <xdr:rowOff>49400</xdr:rowOff>
    </xdr:from>
    <xdr:to>
      <xdr:col>20</xdr:col>
      <xdr:colOff>155450</xdr:colOff>
      <xdr:row>16</xdr:row>
      <xdr:rowOff>206282</xdr:rowOff>
    </xdr:to>
    <xdr:sp macro="" textlink="">
      <xdr:nvSpPr>
        <xdr:cNvPr id="16" name="Arrow: Up 26">
          <a:extLst>
            <a:ext uri="{FF2B5EF4-FFF2-40B4-BE49-F238E27FC236}">
              <a16:creationId xmlns:a16="http://schemas.microsoft.com/office/drawing/2014/main" id="{A4A0014A-5007-4ACA-889F-C31BA41F2A83}"/>
            </a:ext>
          </a:extLst>
        </xdr:cNvPr>
        <xdr:cNvSpPr/>
      </xdr:nvSpPr>
      <xdr:spPr>
        <a:xfrm rot="10800000">
          <a:off x="14560425" y="4316600"/>
          <a:ext cx="73025" cy="156882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66260</xdr:colOff>
      <xdr:row>16</xdr:row>
      <xdr:rowOff>43454</xdr:rowOff>
    </xdr:from>
    <xdr:to>
      <xdr:col>8</xdr:col>
      <xdr:colOff>148175</xdr:colOff>
      <xdr:row>16</xdr:row>
      <xdr:rowOff>192679</xdr:rowOff>
    </xdr:to>
    <xdr:sp macro="" textlink="">
      <xdr:nvSpPr>
        <xdr:cNvPr id="19" name="Arrow: Up 22">
          <a:extLst>
            <a:ext uri="{FF2B5EF4-FFF2-40B4-BE49-F238E27FC236}">
              <a16:creationId xmlns:a16="http://schemas.microsoft.com/office/drawing/2014/main" id="{8E5C9B9D-DFF7-4B37-BA54-B52749F749FC}"/>
            </a:ext>
          </a:extLst>
        </xdr:cNvPr>
        <xdr:cNvSpPr/>
      </xdr:nvSpPr>
      <xdr:spPr>
        <a:xfrm>
          <a:off x="7487477" y="4325563"/>
          <a:ext cx="81915" cy="14922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59768</xdr:colOff>
      <xdr:row>19</xdr:row>
      <xdr:rowOff>29884</xdr:rowOff>
    </xdr:from>
    <xdr:to>
      <xdr:col>8</xdr:col>
      <xdr:colOff>142064</xdr:colOff>
      <xdr:row>19</xdr:row>
      <xdr:rowOff>185332</xdr:rowOff>
    </xdr:to>
    <xdr:sp macro="" textlink="">
      <xdr:nvSpPr>
        <xdr:cNvPr id="58" name="Arrow: Up 34">
          <a:extLst>
            <a:ext uri="{FF2B5EF4-FFF2-40B4-BE49-F238E27FC236}">
              <a16:creationId xmlns:a16="http://schemas.microsoft.com/office/drawing/2014/main" id="{FA9EAFE8-0D00-45AD-98CB-F1304EBE2E7F}"/>
            </a:ext>
          </a:extLst>
        </xdr:cNvPr>
        <xdr:cNvSpPr/>
      </xdr:nvSpPr>
      <xdr:spPr>
        <a:xfrm rot="10800000">
          <a:off x="7470592" y="5005296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52297</xdr:colOff>
      <xdr:row>21</xdr:row>
      <xdr:rowOff>7471</xdr:rowOff>
    </xdr:from>
    <xdr:to>
      <xdr:col>8</xdr:col>
      <xdr:colOff>134593</xdr:colOff>
      <xdr:row>21</xdr:row>
      <xdr:rowOff>162919</xdr:rowOff>
    </xdr:to>
    <xdr:sp macro="" textlink="">
      <xdr:nvSpPr>
        <xdr:cNvPr id="1372" name="Up Arrow 10">
          <a:extLst>
            <a:ext uri="{FF2B5EF4-FFF2-40B4-BE49-F238E27FC236}">
              <a16:creationId xmlns:a16="http://schemas.microsoft.com/office/drawing/2014/main" id="{1FE62E77-D4C9-480D-A84B-F1D71AF71538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7463121" y="5490883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29884</xdr:colOff>
      <xdr:row>19</xdr:row>
      <xdr:rowOff>74710</xdr:rowOff>
    </xdr:from>
    <xdr:to>
      <xdr:col>11</xdr:col>
      <xdr:colOff>126785</xdr:colOff>
      <xdr:row>19</xdr:row>
      <xdr:rowOff>240376</xdr:rowOff>
    </xdr:to>
    <xdr:sp macro="" textlink="">
      <xdr:nvSpPr>
        <xdr:cNvPr id="1401" name="Arrow: Up 29">
          <a:extLst>
            <a:ext uri="{FF2B5EF4-FFF2-40B4-BE49-F238E27FC236}">
              <a16:creationId xmlns:a16="http://schemas.microsoft.com/office/drawing/2014/main" id="{4C868787-9376-4DB5-BE77-5C93B81DB090}"/>
            </a:ext>
          </a:extLst>
        </xdr:cNvPr>
        <xdr:cNvSpPr/>
      </xdr:nvSpPr>
      <xdr:spPr>
        <a:xfrm rot="10800000">
          <a:off x="9412943" y="5050122"/>
          <a:ext cx="96901" cy="16566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29884</xdr:colOff>
      <xdr:row>20</xdr:row>
      <xdr:rowOff>37355</xdr:rowOff>
    </xdr:from>
    <xdr:to>
      <xdr:col>11</xdr:col>
      <xdr:colOff>126785</xdr:colOff>
      <xdr:row>20</xdr:row>
      <xdr:rowOff>203021</xdr:rowOff>
    </xdr:to>
    <xdr:sp macro="" textlink="">
      <xdr:nvSpPr>
        <xdr:cNvPr id="76" name="Arrow: Up 29">
          <a:extLst>
            <a:ext uri="{FF2B5EF4-FFF2-40B4-BE49-F238E27FC236}">
              <a16:creationId xmlns:a16="http://schemas.microsoft.com/office/drawing/2014/main" id="{91C210B0-3208-4B84-963A-D26298B88813}"/>
            </a:ext>
          </a:extLst>
        </xdr:cNvPr>
        <xdr:cNvSpPr/>
      </xdr:nvSpPr>
      <xdr:spPr>
        <a:xfrm rot="10800000">
          <a:off x="9412943" y="5266767"/>
          <a:ext cx="96901" cy="16566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37355</xdr:colOff>
      <xdr:row>21</xdr:row>
      <xdr:rowOff>14942</xdr:rowOff>
    </xdr:from>
    <xdr:to>
      <xdr:col>11</xdr:col>
      <xdr:colOff>119651</xdr:colOff>
      <xdr:row>21</xdr:row>
      <xdr:rowOff>170390</xdr:rowOff>
    </xdr:to>
    <xdr:sp macro="" textlink="">
      <xdr:nvSpPr>
        <xdr:cNvPr id="106" name="Up Arrow 10">
          <a:extLst>
            <a:ext uri="{FF2B5EF4-FFF2-40B4-BE49-F238E27FC236}">
              <a16:creationId xmlns:a16="http://schemas.microsoft.com/office/drawing/2014/main" id="{FD48BE57-1665-4393-9A56-DBCF02388347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9420414" y="5498354"/>
          <a:ext cx="82296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0</xdr:colOff>
      <xdr:row>20</xdr:row>
      <xdr:rowOff>29884</xdr:rowOff>
    </xdr:from>
    <xdr:to>
      <xdr:col>17</xdr:col>
      <xdr:colOff>87630</xdr:colOff>
      <xdr:row>20</xdr:row>
      <xdr:rowOff>208500</xdr:rowOff>
    </xdr:to>
    <xdr:sp macro="" textlink="">
      <xdr:nvSpPr>
        <xdr:cNvPr id="121" name="Arrow: Up 30">
          <a:extLst>
            <a:ext uri="{FF2B5EF4-FFF2-40B4-BE49-F238E27FC236}">
              <a16:creationId xmlns:a16="http://schemas.microsoft.com/office/drawing/2014/main" id="{A251884B-19D7-4ECA-9C14-5AA73612EF01}"/>
            </a:ext>
          </a:extLst>
        </xdr:cNvPr>
        <xdr:cNvSpPr/>
      </xdr:nvSpPr>
      <xdr:spPr>
        <a:xfrm rot="10800000">
          <a:off x="13327529" y="5259296"/>
          <a:ext cx="87630" cy="17861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22413</xdr:colOff>
      <xdr:row>21</xdr:row>
      <xdr:rowOff>59768</xdr:rowOff>
    </xdr:from>
    <xdr:to>
      <xdr:col>17</xdr:col>
      <xdr:colOff>98613</xdr:colOff>
      <xdr:row>21</xdr:row>
      <xdr:rowOff>216704</xdr:rowOff>
    </xdr:to>
    <xdr:sp macro="" textlink="">
      <xdr:nvSpPr>
        <xdr:cNvPr id="1484" name="Up Arrow 10">
          <a:extLst>
            <a:ext uri="{FF2B5EF4-FFF2-40B4-BE49-F238E27FC236}">
              <a16:creationId xmlns:a16="http://schemas.microsoft.com/office/drawing/2014/main" id="{90025472-369B-42C6-B9DD-9CF1A741C4D2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3349942" y="5543180"/>
          <a:ext cx="76200" cy="15693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89652</xdr:colOff>
      <xdr:row>21</xdr:row>
      <xdr:rowOff>29884</xdr:rowOff>
    </xdr:from>
    <xdr:to>
      <xdr:col>20</xdr:col>
      <xdr:colOff>165852</xdr:colOff>
      <xdr:row>21</xdr:row>
      <xdr:rowOff>186820</xdr:rowOff>
    </xdr:to>
    <xdr:sp macro="" textlink="">
      <xdr:nvSpPr>
        <xdr:cNvPr id="1493" name="Up Arrow 10">
          <a:extLst>
            <a:ext uri="{FF2B5EF4-FFF2-40B4-BE49-F238E27FC236}">
              <a16:creationId xmlns:a16="http://schemas.microsoft.com/office/drawing/2014/main" id="{E2E3A1CC-2B54-441A-A017-1A9FDD1E4317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4590064" y="5513296"/>
          <a:ext cx="76200" cy="15693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27213</xdr:colOff>
      <xdr:row>18</xdr:row>
      <xdr:rowOff>27213</xdr:rowOff>
    </xdr:from>
    <xdr:to>
      <xdr:col>17</xdr:col>
      <xdr:colOff>103413</xdr:colOff>
      <xdr:row>18</xdr:row>
      <xdr:rowOff>179613</xdr:rowOff>
    </xdr:to>
    <xdr:sp macro="" textlink="">
      <xdr:nvSpPr>
        <xdr:cNvPr id="55" name="Up Arrow 10">
          <a:extLst>
            <a:ext uri="{FF2B5EF4-FFF2-40B4-BE49-F238E27FC236}">
              <a16:creationId xmlns:a16="http://schemas.microsoft.com/office/drawing/2014/main" id="{7E2A9CA9-D82C-4A64-A2D0-65C307312B13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14341927" y="4780642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190491</xdr:colOff>
      <xdr:row>18</xdr:row>
      <xdr:rowOff>0</xdr:rowOff>
    </xdr:from>
    <xdr:to>
      <xdr:col>20</xdr:col>
      <xdr:colOff>278121</xdr:colOff>
      <xdr:row>18</xdr:row>
      <xdr:rowOff>178616</xdr:rowOff>
    </xdr:to>
    <xdr:sp macro="" textlink="">
      <xdr:nvSpPr>
        <xdr:cNvPr id="57" name="Arrow: Up 30">
          <a:extLst>
            <a:ext uri="{FF2B5EF4-FFF2-40B4-BE49-F238E27FC236}">
              <a16:creationId xmlns:a16="http://schemas.microsoft.com/office/drawing/2014/main" id="{B998FCA3-C6FF-4753-B2EA-DB284E7589A8}"/>
            </a:ext>
          </a:extLst>
        </xdr:cNvPr>
        <xdr:cNvSpPr/>
      </xdr:nvSpPr>
      <xdr:spPr>
        <a:xfrm rot="10800000">
          <a:off x="15666348" y="4753429"/>
          <a:ext cx="87630" cy="17861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85170</xdr:colOff>
      <xdr:row>10</xdr:row>
      <xdr:rowOff>53319</xdr:rowOff>
    </xdr:from>
    <xdr:to>
      <xdr:col>5</xdr:col>
      <xdr:colOff>169625</xdr:colOff>
      <xdr:row>10</xdr:row>
      <xdr:rowOff>212069</xdr:rowOff>
    </xdr:to>
    <xdr:sp macro="" textlink="">
      <xdr:nvSpPr>
        <xdr:cNvPr id="41" name="Arrow: Up 35">
          <a:extLst>
            <a:ext uri="{FF2B5EF4-FFF2-40B4-BE49-F238E27FC236}">
              <a16:creationId xmlns:a16="http://schemas.microsoft.com/office/drawing/2014/main" id="{3CB045AC-DE14-4859-B9F5-B0E1C2C6C8F0}"/>
            </a:ext>
          </a:extLst>
        </xdr:cNvPr>
        <xdr:cNvSpPr/>
      </xdr:nvSpPr>
      <xdr:spPr>
        <a:xfrm rot="10800000">
          <a:off x="4490483" y="2648882"/>
          <a:ext cx="84455" cy="158750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83344</xdr:colOff>
      <xdr:row>11</xdr:row>
      <xdr:rowOff>59532</xdr:rowOff>
    </xdr:from>
    <xdr:to>
      <xdr:col>5</xdr:col>
      <xdr:colOff>153194</xdr:colOff>
      <xdr:row>11</xdr:row>
      <xdr:rowOff>211932</xdr:rowOff>
    </xdr:to>
    <xdr:sp macro="" textlink="">
      <xdr:nvSpPr>
        <xdr:cNvPr id="44" name="Arrow: Up 36">
          <a:extLst>
            <a:ext uri="{FF2B5EF4-FFF2-40B4-BE49-F238E27FC236}">
              <a16:creationId xmlns:a16="http://schemas.microsoft.com/office/drawing/2014/main" id="{A30921B4-0A74-4E1B-8F66-57C6E208F151}"/>
            </a:ext>
          </a:extLst>
        </xdr:cNvPr>
        <xdr:cNvSpPr/>
      </xdr:nvSpPr>
      <xdr:spPr>
        <a:xfrm rot="10800000">
          <a:off x="4619625" y="2881313"/>
          <a:ext cx="69850" cy="158750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88498</xdr:colOff>
      <xdr:row>13</xdr:row>
      <xdr:rowOff>59532</xdr:rowOff>
    </xdr:from>
    <xdr:to>
      <xdr:col>5</xdr:col>
      <xdr:colOff>164698</xdr:colOff>
      <xdr:row>14</xdr:row>
      <xdr:rowOff>25811</xdr:rowOff>
    </xdr:to>
    <xdr:sp macro="" textlink="">
      <xdr:nvSpPr>
        <xdr:cNvPr id="46" name="Up Arrow 10">
          <a:extLst>
            <a:ext uri="{FF2B5EF4-FFF2-40B4-BE49-F238E27FC236}">
              <a16:creationId xmlns:a16="http://schemas.microsoft.com/office/drawing/2014/main" id="{32B597C1-4FC0-4BA3-B568-C7E05AD1ECF0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24779" y="3381376"/>
          <a:ext cx="76200" cy="144873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36910</xdr:colOff>
      <xdr:row>14</xdr:row>
      <xdr:rowOff>76728</xdr:rowOff>
    </xdr:from>
    <xdr:to>
      <xdr:col>5</xdr:col>
      <xdr:colOff>217885</xdr:colOff>
      <xdr:row>14</xdr:row>
      <xdr:rowOff>219603</xdr:rowOff>
    </xdr:to>
    <xdr:sp macro="" textlink="">
      <xdr:nvSpPr>
        <xdr:cNvPr id="54" name="Minus Sign 3">
          <a:extLst>
            <a:ext uri="{FF2B5EF4-FFF2-40B4-BE49-F238E27FC236}">
              <a16:creationId xmlns:a16="http://schemas.microsoft.com/office/drawing/2014/main" id="{A9D7A7B4-A3CE-4FDF-8103-C2DB4123AE49}"/>
            </a:ext>
          </a:extLst>
        </xdr:cNvPr>
        <xdr:cNvSpPr/>
      </xdr:nvSpPr>
      <xdr:spPr>
        <a:xfrm>
          <a:off x="4442223" y="3618837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35719</xdr:colOff>
      <xdr:row>19</xdr:row>
      <xdr:rowOff>70480</xdr:rowOff>
    </xdr:from>
    <xdr:to>
      <xdr:col>5</xdr:col>
      <xdr:colOff>216694</xdr:colOff>
      <xdr:row>19</xdr:row>
      <xdr:rowOff>213355</xdr:rowOff>
    </xdr:to>
    <xdr:sp macro="" textlink="">
      <xdr:nvSpPr>
        <xdr:cNvPr id="61" name="Minus Sign 3">
          <a:extLst>
            <a:ext uri="{FF2B5EF4-FFF2-40B4-BE49-F238E27FC236}">
              <a16:creationId xmlns:a16="http://schemas.microsoft.com/office/drawing/2014/main" id="{576DE5C5-B251-4A55-AE3C-438732169A77}"/>
            </a:ext>
          </a:extLst>
        </xdr:cNvPr>
        <xdr:cNvSpPr/>
      </xdr:nvSpPr>
      <xdr:spPr>
        <a:xfrm>
          <a:off x="4572000" y="4821074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78554</xdr:colOff>
      <xdr:row>20</xdr:row>
      <xdr:rowOff>59531</xdr:rowOff>
    </xdr:from>
    <xdr:to>
      <xdr:col>5</xdr:col>
      <xdr:colOff>154754</xdr:colOff>
      <xdr:row>20</xdr:row>
      <xdr:rowOff>211931</xdr:rowOff>
    </xdr:to>
    <xdr:sp macro="" textlink="">
      <xdr:nvSpPr>
        <xdr:cNvPr id="6" name="Up Arrow 10">
          <a:extLst>
            <a:ext uri="{FF2B5EF4-FFF2-40B4-BE49-F238E27FC236}">
              <a16:creationId xmlns:a16="http://schemas.microsoft.com/office/drawing/2014/main" id="{22FAA77C-5326-4A8B-99B6-03A0B92D21CB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14835" y="5060156"/>
          <a:ext cx="76200" cy="152400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23812</xdr:colOff>
      <xdr:row>21</xdr:row>
      <xdr:rowOff>70480</xdr:rowOff>
    </xdr:from>
    <xdr:to>
      <xdr:col>5</xdr:col>
      <xdr:colOff>204787</xdr:colOff>
      <xdr:row>21</xdr:row>
      <xdr:rowOff>213355</xdr:rowOff>
    </xdr:to>
    <xdr:sp macro="" textlink="">
      <xdr:nvSpPr>
        <xdr:cNvPr id="76" name="Minus Sign 3">
          <a:extLst>
            <a:ext uri="{FF2B5EF4-FFF2-40B4-BE49-F238E27FC236}">
              <a16:creationId xmlns:a16="http://schemas.microsoft.com/office/drawing/2014/main" id="{C9F2DAF1-4129-4BC6-955C-654EED0A04F7}"/>
            </a:ext>
          </a:extLst>
        </xdr:cNvPr>
        <xdr:cNvSpPr/>
      </xdr:nvSpPr>
      <xdr:spPr>
        <a:xfrm>
          <a:off x="4560093" y="5321136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23813</xdr:colOff>
      <xdr:row>23</xdr:row>
      <xdr:rowOff>71437</xdr:rowOff>
    </xdr:from>
    <xdr:to>
      <xdr:col>5</xdr:col>
      <xdr:colOff>204788</xdr:colOff>
      <xdr:row>23</xdr:row>
      <xdr:rowOff>214312</xdr:rowOff>
    </xdr:to>
    <xdr:sp macro="" textlink="">
      <xdr:nvSpPr>
        <xdr:cNvPr id="77" name="Minus Sign 3">
          <a:extLst>
            <a:ext uri="{FF2B5EF4-FFF2-40B4-BE49-F238E27FC236}">
              <a16:creationId xmlns:a16="http://schemas.microsoft.com/office/drawing/2014/main" id="{01E2F348-13E0-4AA1-BBEE-B531EE6449E4}"/>
            </a:ext>
          </a:extLst>
        </xdr:cNvPr>
        <xdr:cNvSpPr/>
      </xdr:nvSpPr>
      <xdr:spPr>
        <a:xfrm>
          <a:off x="4560094" y="5822156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23813</xdr:colOff>
      <xdr:row>24</xdr:row>
      <xdr:rowOff>40506</xdr:rowOff>
    </xdr:from>
    <xdr:to>
      <xdr:col>5</xdr:col>
      <xdr:colOff>204788</xdr:colOff>
      <xdr:row>24</xdr:row>
      <xdr:rowOff>183381</xdr:rowOff>
    </xdr:to>
    <xdr:sp macro="" textlink="">
      <xdr:nvSpPr>
        <xdr:cNvPr id="78" name="Minus Sign 3">
          <a:extLst>
            <a:ext uri="{FF2B5EF4-FFF2-40B4-BE49-F238E27FC236}">
              <a16:creationId xmlns:a16="http://schemas.microsoft.com/office/drawing/2014/main" id="{B1589468-3856-4D83-B95A-4ABF8B5CDE5C}"/>
            </a:ext>
          </a:extLst>
        </xdr:cNvPr>
        <xdr:cNvSpPr/>
      </xdr:nvSpPr>
      <xdr:spPr>
        <a:xfrm>
          <a:off x="4560094" y="6041256"/>
          <a:ext cx="180975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86122</xdr:colOff>
      <xdr:row>11</xdr:row>
      <xdr:rowOff>61913</xdr:rowOff>
    </xdr:from>
    <xdr:to>
      <xdr:col>5</xdr:col>
      <xdr:colOff>168672</xdr:colOff>
      <xdr:row>11</xdr:row>
      <xdr:rowOff>211773</xdr:rowOff>
    </xdr:to>
    <xdr:sp macro="" textlink="">
      <xdr:nvSpPr>
        <xdr:cNvPr id="4" name="Arrow: Up 36">
          <a:extLst>
            <a:ext uri="{FF2B5EF4-FFF2-40B4-BE49-F238E27FC236}">
              <a16:creationId xmlns:a16="http://schemas.microsoft.com/office/drawing/2014/main" id="{D3FA83D1-6B5E-47FA-AA3C-51B5B00ACD87}"/>
            </a:ext>
          </a:extLst>
        </xdr:cNvPr>
        <xdr:cNvSpPr/>
      </xdr:nvSpPr>
      <xdr:spPr>
        <a:xfrm rot="10800000">
          <a:off x="4491435" y="2913460"/>
          <a:ext cx="82550" cy="149860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</xdr:colOff>
      <xdr:row>25</xdr:row>
      <xdr:rowOff>38100</xdr:rowOff>
    </xdr:from>
    <xdr:to>
      <xdr:col>6</xdr:col>
      <xdr:colOff>0</xdr:colOff>
      <xdr:row>25</xdr:row>
      <xdr:rowOff>180975</xdr:rowOff>
    </xdr:to>
    <xdr:sp macro="" textlink="">
      <xdr:nvSpPr>
        <xdr:cNvPr id="7" name="Minus 6">
          <a:extLst>
            <a:ext uri="{FF2B5EF4-FFF2-40B4-BE49-F238E27FC236}">
              <a16:creationId xmlns:a16="http://schemas.microsoft.com/office/drawing/2014/main" id="{ABC955CA-E1BB-409F-8D13-A27268142264}"/>
            </a:ext>
            <a:ext uri="{147F2762-F138-4A5C-976F-8EAC2B608ADB}">
              <a16:predDERef xmlns:a16="http://schemas.microsoft.com/office/drawing/2014/main" pred="{0C0A8E6D-974F-E150-57F8-54505C8700F0}"/>
            </a:ext>
          </a:extLst>
        </xdr:cNvPr>
        <xdr:cNvSpPr/>
      </xdr:nvSpPr>
      <xdr:spPr>
        <a:xfrm>
          <a:off x="3876675" y="6429375"/>
          <a:ext cx="171450" cy="142875"/>
        </a:xfrm>
        <a:prstGeom prst="mathMinus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27</xdr:row>
      <xdr:rowOff>66675</xdr:rowOff>
    </xdr:from>
    <xdr:to>
      <xdr:col>5</xdr:col>
      <xdr:colOff>161925</xdr:colOff>
      <xdr:row>27</xdr:row>
      <xdr:rowOff>219075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F6F24631-2356-4F3E-9B2C-7CE2BC849194}"/>
            </a:ext>
            <a:ext uri="{147F2762-F138-4A5C-976F-8EAC2B608ADB}">
              <a16:predDERef xmlns:a16="http://schemas.microsoft.com/office/drawing/2014/main" pred="{ABC955CA-E1BB-409F-8D13-A27268142264}"/>
            </a:ext>
          </a:extLst>
        </xdr:cNvPr>
        <xdr:cNvSpPr/>
      </xdr:nvSpPr>
      <xdr:spPr>
        <a:xfrm>
          <a:off x="3933825" y="6972300"/>
          <a:ext cx="76200" cy="152400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32</xdr:row>
      <xdr:rowOff>47625</xdr:rowOff>
    </xdr:from>
    <xdr:to>
      <xdr:col>5</xdr:col>
      <xdr:colOff>142875</xdr:colOff>
      <xdr:row>32</xdr:row>
      <xdr:rowOff>206375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id="{C082B599-DE7B-499D-9AA9-7C1054219015}"/>
            </a:ext>
            <a:ext uri="{147F2762-F138-4A5C-976F-8EAC2B608ADB}">
              <a16:predDERef xmlns:a16="http://schemas.microsoft.com/office/drawing/2014/main" pred="{F6F24631-2356-4F3E-9B2C-7CE2BC849194}"/>
            </a:ext>
          </a:extLst>
        </xdr:cNvPr>
        <xdr:cNvSpPr/>
      </xdr:nvSpPr>
      <xdr:spPr>
        <a:xfrm rot="10800000">
          <a:off x="3914775" y="8239125"/>
          <a:ext cx="76200" cy="158750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89297</xdr:colOff>
      <xdr:row>13</xdr:row>
      <xdr:rowOff>59532</xdr:rowOff>
    </xdr:from>
    <xdr:to>
      <xdr:col>5</xdr:col>
      <xdr:colOff>165497</xdr:colOff>
      <xdr:row>14</xdr:row>
      <xdr:rowOff>25811</xdr:rowOff>
    </xdr:to>
    <xdr:sp macro="" textlink="">
      <xdr:nvSpPr>
        <xdr:cNvPr id="10" name="Up Arrow 10">
          <a:extLst>
            <a:ext uri="{FF2B5EF4-FFF2-40B4-BE49-F238E27FC236}">
              <a16:creationId xmlns:a16="http://schemas.microsoft.com/office/drawing/2014/main" id="{E1D7986F-10EF-4AE8-BDB7-B79FE91563B7}"/>
            </a:ext>
            <a:ext uri="{147F2762-F138-4A5C-976F-8EAC2B608ADB}">
              <a16:predDERef xmlns:a16="http://schemas.microsoft.com/office/drawing/2014/main" pred="{ED1B3A81-5918-42EA-AF5D-816455F099A8}"/>
            </a:ext>
          </a:extLst>
        </xdr:cNvPr>
        <xdr:cNvSpPr/>
      </xdr:nvSpPr>
      <xdr:spPr>
        <a:xfrm>
          <a:off x="4494610" y="3423048"/>
          <a:ext cx="76200" cy="144872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82550</xdr:colOff>
      <xdr:row>25</xdr:row>
      <xdr:rowOff>247650</xdr:rowOff>
    </xdr:from>
    <xdr:to>
      <xdr:col>5</xdr:col>
      <xdr:colOff>158750</xdr:colOff>
      <xdr:row>26</xdr:row>
      <xdr:rowOff>146050</xdr:rowOff>
    </xdr:to>
    <xdr:sp macro="" textlink="">
      <xdr:nvSpPr>
        <xdr:cNvPr id="5" name="Up Arrow 7">
          <a:extLst>
            <a:ext uri="{FF2B5EF4-FFF2-40B4-BE49-F238E27FC236}">
              <a16:creationId xmlns:a16="http://schemas.microsoft.com/office/drawing/2014/main" id="{0CC5F9CD-4C3A-BF41-A753-EFB15B9D024C}"/>
            </a:ext>
            <a:ext uri="{147F2762-F138-4A5C-976F-8EAC2B608ADB}">
              <a16:predDERef xmlns:a16="http://schemas.microsoft.com/office/drawing/2014/main" pred="{ABC955CA-E1BB-409F-8D13-A27268142264}"/>
            </a:ext>
          </a:extLst>
        </xdr:cNvPr>
        <xdr:cNvSpPr/>
      </xdr:nvSpPr>
      <xdr:spPr>
        <a:xfrm>
          <a:off x="4667250" y="6572250"/>
          <a:ext cx="76200" cy="152400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89297</xdr:colOff>
      <xdr:row>9</xdr:row>
      <xdr:rowOff>77932</xdr:rowOff>
    </xdr:from>
    <xdr:to>
      <xdr:col>5</xdr:col>
      <xdr:colOff>165497</xdr:colOff>
      <xdr:row>9</xdr:row>
      <xdr:rowOff>225186</xdr:rowOff>
    </xdr:to>
    <xdr:sp macro="" textlink="">
      <xdr:nvSpPr>
        <xdr:cNvPr id="2" name="Up Arrow 10">
          <a:extLst>
            <a:ext uri="{FF2B5EF4-FFF2-40B4-BE49-F238E27FC236}">
              <a16:creationId xmlns:a16="http://schemas.microsoft.com/office/drawing/2014/main" id="{AD1D3A90-FF3C-4B23-BB45-06CD58BC2501}"/>
            </a:ext>
            <a:ext uri="{147F2762-F138-4A5C-976F-8EAC2B608ADB}">
              <a16:predDERef xmlns:a16="http://schemas.microsoft.com/office/drawing/2014/main" pred="{E1D7986F-10EF-4AE8-BDB7-B79FE91563B7}"/>
            </a:ext>
          </a:extLst>
        </xdr:cNvPr>
        <xdr:cNvSpPr/>
      </xdr:nvSpPr>
      <xdr:spPr>
        <a:xfrm>
          <a:off x="4494610" y="2417510"/>
          <a:ext cx="76200" cy="147254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88262</xdr:colOff>
      <xdr:row>16</xdr:row>
      <xdr:rowOff>52026</xdr:rowOff>
    </xdr:from>
    <xdr:to>
      <xdr:col>5</xdr:col>
      <xdr:colOff>164462</xdr:colOff>
      <xdr:row>16</xdr:row>
      <xdr:rowOff>200523</xdr:rowOff>
    </xdr:to>
    <xdr:sp macro="" textlink="">
      <xdr:nvSpPr>
        <xdr:cNvPr id="14" name="Up Arrow 10">
          <a:extLst>
            <a:ext uri="{FF2B5EF4-FFF2-40B4-BE49-F238E27FC236}">
              <a16:creationId xmlns:a16="http://schemas.microsoft.com/office/drawing/2014/main" id="{2CA6A268-F21A-45B3-8676-1D5F87870062}"/>
            </a:ext>
            <a:ext uri="{147F2762-F138-4A5C-976F-8EAC2B608ADB}">
              <a16:predDERef xmlns:a16="http://schemas.microsoft.com/office/drawing/2014/main" pred="{ED1B3A81-5918-42EA-AF5D-816455F099A8}"/>
            </a:ext>
          </a:extLst>
        </xdr:cNvPr>
        <xdr:cNvSpPr/>
      </xdr:nvSpPr>
      <xdr:spPr>
        <a:xfrm>
          <a:off x="4502892" y="4127069"/>
          <a:ext cx="76200" cy="148497"/>
        </a:xfrm>
        <a:prstGeom prst="upArrow">
          <a:avLst/>
        </a:prstGeom>
        <a:solidFill>
          <a:srgbClr val="005080"/>
        </a:solidFill>
        <a:ln>
          <a:solidFill>
            <a:srgbClr val="00508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81855</xdr:colOff>
      <xdr:row>18</xdr:row>
      <xdr:rowOff>29478</xdr:rowOff>
    </xdr:from>
    <xdr:to>
      <xdr:col>5</xdr:col>
      <xdr:colOff>159417</xdr:colOff>
      <xdr:row>18</xdr:row>
      <xdr:rowOff>184926</xdr:rowOff>
    </xdr:to>
    <xdr:sp macro="" textlink="">
      <xdr:nvSpPr>
        <xdr:cNvPr id="3" name="Arrow: Up 35">
          <a:extLst>
            <a:ext uri="{FF2B5EF4-FFF2-40B4-BE49-F238E27FC236}">
              <a16:creationId xmlns:a16="http://schemas.microsoft.com/office/drawing/2014/main" id="{0A71D77B-B316-4833-9EAB-9EE6465650A7}"/>
            </a:ext>
          </a:extLst>
        </xdr:cNvPr>
        <xdr:cNvSpPr/>
      </xdr:nvSpPr>
      <xdr:spPr>
        <a:xfrm rot="10800000">
          <a:off x="5468653" y="4652849"/>
          <a:ext cx="77562" cy="15544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83083</xdr:colOff>
      <xdr:row>12</xdr:row>
      <xdr:rowOff>53319</xdr:rowOff>
    </xdr:from>
    <xdr:to>
      <xdr:col>5</xdr:col>
      <xdr:colOff>166268</xdr:colOff>
      <xdr:row>12</xdr:row>
      <xdr:rowOff>208259</xdr:rowOff>
    </xdr:to>
    <xdr:sp macro="" textlink="">
      <xdr:nvSpPr>
        <xdr:cNvPr id="11" name="Arrow: Up 4">
          <a:extLst>
            <a:ext uri="{FF2B5EF4-FFF2-40B4-BE49-F238E27FC236}">
              <a16:creationId xmlns:a16="http://schemas.microsoft.com/office/drawing/2014/main" id="{0033A3F1-2E70-4E3A-9C77-0DEE803A8E6F}"/>
            </a:ext>
          </a:extLst>
        </xdr:cNvPr>
        <xdr:cNvSpPr/>
      </xdr:nvSpPr>
      <xdr:spPr>
        <a:xfrm rot="10800000">
          <a:off x="4794295" y="2778934"/>
          <a:ext cx="83185" cy="15494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81813</xdr:colOff>
      <xdr:row>13</xdr:row>
      <xdr:rowOff>47625</xdr:rowOff>
    </xdr:from>
    <xdr:to>
      <xdr:col>5</xdr:col>
      <xdr:colOff>167538</xdr:colOff>
      <xdr:row>13</xdr:row>
      <xdr:rowOff>210185</xdr:rowOff>
    </xdr:to>
    <xdr:sp macro="" textlink="">
      <xdr:nvSpPr>
        <xdr:cNvPr id="12" name="Arrow: Up 6">
          <a:extLst>
            <a:ext uri="{FF2B5EF4-FFF2-40B4-BE49-F238E27FC236}">
              <a16:creationId xmlns:a16="http://schemas.microsoft.com/office/drawing/2014/main" id="{DE1AF2B2-BEB8-4E8B-B2CE-A9BC9CE626F2}"/>
            </a:ext>
          </a:extLst>
        </xdr:cNvPr>
        <xdr:cNvSpPr/>
      </xdr:nvSpPr>
      <xdr:spPr>
        <a:xfrm rot="10800000">
          <a:off x="4793025" y="3029683"/>
          <a:ext cx="85725" cy="16256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81496</xdr:colOff>
      <xdr:row>16</xdr:row>
      <xdr:rowOff>50372</xdr:rowOff>
    </xdr:from>
    <xdr:to>
      <xdr:col>5</xdr:col>
      <xdr:colOff>167856</xdr:colOff>
      <xdr:row>16</xdr:row>
      <xdr:rowOff>227758</xdr:rowOff>
    </xdr:to>
    <xdr:sp macro="" textlink="">
      <xdr:nvSpPr>
        <xdr:cNvPr id="14" name="Arrow: Up 27">
          <a:extLst>
            <a:ext uri="{FF2B5EF4-FFF2-40B4-BE49-F238E27FC236}">
              <a16:creationId xmlns:a16="http://schemas.microsoft.com/office/drawing/2014/main" id="{869691E2-6F47-42F9-809D-B62D8D9B095B}"/>
            </a:ext>
          </a:extLst>
        </xdr:cNvPr>
        <xdr:cNvSpPr/>
      </xdr:nvSpPr>
      <xdr:spPr>
        <a:xfrm rot="10800000">
          <a:off x="4792708" y="3765122"/>
          <a:ext cx="86360" cy="177386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76666</xdr:colOff>
      <xdr:row>20</xdr:row>
      <xdr:rowOff>66675</xdr:rowOff>
    </xdr:from>
    <xdr:to>
      <xdr:col>5</xdr:col>
      <xdr:colOff>152866</xdr:colOff>
      <xdr:row>20</xdr:row>
      <xdr:rowOff>219075</xdr:rowOff>
    </xdr:to>
    <xdr:sp macro="" textlink="">
      <xdr:nvSpPr>
        <xdr:cNvPr id="16" name="Up Arrow 10">
          <a:extLst>
            <a:ext uri="{FF2B5EF4-FFF2-40B4-BE49-F238E27FC236}">
              <a16:creationId xmlns:a16="http://schemas.microsoft.com/office/drawing/2014/main" id="{AD3B5E81-67D1-41AB-AE1B-E4F3EDE10579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58191" y="466725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23</xdr:row>
      <xdr:rowOff>76201</xdr:rowOff>
    </xdr:from>
    <xdr:to>
      <xdr:col>5</xdr:col>
      <xdr:colOff>219075</xdr:colOff>
      <xdr:row>23</xdr:row>
      <xdr:rowOff>219076</xdr:rowOff>
    </xdr:to>
    <xdr:sp macro="" textlink="">
      <xdr:nvSpPr>
        <xdr:cNvPr id="17" name="Minus Sign 3">
          <a:extLst>
            <a:ext uri="{FF2B5EF4-FFF2-40B4-BE49-F238E27FC236}">
              <a16:creationId xmlns:a16="http://schemas.microsoft.com/office/drawing/2014/main" id="{E2B25864-EF45-43EE-9ABF-F90B3C9E9F9C}"/>
            </a:ext>
          </a:extLst>
        </xdr:cNvPr>
        <xdr:cNvSpPr/>
      </xdr:nvSpPr>
      <xdr:spPr>
        <a:xfrm>
          <a:off x="4629150" y="5419726"/>
          <a:ext cx="171450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86381</xdr:colOff>
      <xdr:row>21</xdr:row>
      <xdr:rowOff>84192</xdr:rowOff>
    </xdr:from>
    <xdr:to>
      <xdr:col>5</xdr:col>
      <xdr:colOff>172106</xdr:colOff>
      <xdr:row>21</xdr:row>
      <xdr:rowOff>227067</xdr:rowOff>
    </xdr:to>
    <xdr:sp macro="" textlink="">
      <xdr:nvSpPr>
        <xdr:cNvPr id="18" name="Arrow: Up 29">
          <a:extLst>
            <a:ext uri="{FF2B5EF4-FFF2-40B4-BE49-F238E27FC236}">
              <a16:creationId xmlns:a16="http://schemas.microsoft.com/office/drawing/2014/main" id="{DB56D88B-BEFA-468B-8F69-AD1DB47AAB0B}"/>
            </a:ext>
          </a:extLst>
        </xdr:cNvPr>
        <xdr:cNvSpPr/>
      </xdr:nvSpPr>
      <xdr:spPr>
        <a:xfrm rot="10956302">
          <a:off x="4820306" y="5037192"/>
          <a:ext cx="73025" cy="14287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22</xdr:row>
      <xdr:rowOff>104775</xdr:rowOff>
    </xdr:from>
    <xdr:to>
      <xdr:col>5</xdr:col>
      <xdr:colOff>161925</xdr:colOff>
      <xdr:row>23</xdr:row>
      <xdr:rowOff>9525</xdr:rowOff>
    </xdr:to>
    <xdr:sp macro="" textlink="">
      <xdr:nvSpPr>
        <xdr:cNvPr id="19" name="Up Arrow 10">
          <a:extLst>
            <a:ext uri="{FF2B5EF4-FFF2-40B4-BE49-F238E27FC236}">
              <a16:creationId xmlns:a16="http://schemas.microsoft.com/office/drawing/2014/main" id="{1C319670-E03B-40BF-9289-9725BD6336F2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67250" y="520065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25</xdr:row>
      <xdr:rowOff>38100</xdr:rowOff>
    </xdr:from>
    <xdr:to>
      <xdr:col>5</xdr:col>
      <xdr:colOff>161925</xdr:colOff>
      <xdr:row>25</xdr:row>
      <xdr:rowOff>190500</xdr:rowOff>
    </xdr:to>
    <xdr:sp macro="" textlink="">
      <xdr:nvSpPr>
        <xdr:cNvPr id="20" name="Up Arrow 10">
          <a:extLst>
            <a:ext uri="{FF2B5EF4-FFF2-40B4-BE49-F238E27FC236}">
              <a16:creationId xmlns:a16="http://schemas.microsoft.com/office/drawing/2014/main" id="{C3FC05ED-E914-425A-9057-73ED839D9FA2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67250" y="587692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26</xdr:row>
      <xdr:rowOff>57150</xdr:rowOff>
    </xdr:from>
    <xdr:to>
      <xdr:col>5</xdr:col>
      <xdr:colOff>161925</xdr:colOff>
      <xdr:row>26</xdr:row>
      <xdr:rowOff>209550</xdr:rowOff>
    </xdr:to>
    <xdr:sp macro="" textlink="">
      <xdr:nvSpPr>
        <xdr:cNvPr id="21" name="Up Arrow 10">
          <a:extLst>
            <a:ext uri="{FF2B5EF4-FFF2-40B4-BE49-F238E27FC236}">
              <a16:creationId xmlns:a16="http://schemas.microsoft.com/office/drawing/2014/main" id="{7E60F005-C09A-4509-B397-9EC19BB16583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67250" y="614362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27</xdr:row>
      <xdr:rowOff>66675</xdr:rowOff>
    </xdr:from>
    <xdr:to>
      <xdr:col>5</xdr:col>
      <xdr:colOff>200025</xdr:colOff>
      <xdr:row>27</xdr:row>
      <xdr:rowOff>209550</xdr:rowOff>
    </xdr:to>
    <xdr:sp macro="" textlink="">
      <xdr:nvSpPr>
        <xdr:cNvPr id="22" name="Minus Sign 3">
          <a:extLst>
            <a:ext uri="{FF2B5EF4-FFF2-40B4-BE49-F238E27FC236}">
              <a16:creationId xmlns:a16="http://schemas.microsoft.com/office/drawing/2014/main" id="{F945E746-5408-4B3E-ADAC-844FD761B120}"/>
            </a:ext>
          </a:extLst>
        </xdr:cNvPr>
        <xdr:cNvSpPr/>
      </xdr:nvSpPr>
      <xdr:spPr>
        <a:xfrm>
          <a:off x="4600575" y="6400800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</xdr:colOff>
      <xdr:row>34</xdr:row>
      <xdr:rowOff>66675</xdr:rowOff>
    </xdr:from>
    <xdr:to>
      <xdr:col>6</xdr:col>
      <xdr:colOff>9525</xdr:colOff>
      <xdr:row>34</xdr:row>
      <xdr:rowOff>209550</xdr:rowOff>
    </xdr:to>
    <xdr:sp macro="" textlink="">
      <xdr:nvSpPr>
        <xdr:cNvPr id="5" name="Minus 4">
          <a:extLst>
            <a:ext uri="{FF2B5EF4-FFF2-40B4-BE49-F238E27FC236}">
              <a16:creationId xmlns:a16="http://schemas.microsoft.com/office/drawing/2014/main" id="{80453558-53AB-4373-8E44-B1E55FB9D9D0}"/>
            </a:ext>
            <a:ext uri="{147F2762-F138-4A5C-976F-8EAC2B608ADB}">
              <a16:predDERef xmlns:a16="http://schemas.microsoft.com/office/drawing/2014/main" pred="{81D77A90-04C4-4BEB-A6DA-2C32983E0ACA}"/>
            </a:ext>
          </a:extLst>
        </xdr:cNvPr>
        <xdr:cNvSpPr/>
      </xdr:nvSpPr>
      <xdr:spPr>
        <a:xfrm>
          <a:off x="4219575" y="8420100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83806</xdr:colOff>
      <xdr:row>15</xdr:row>
      <xdr:rowOff>38600</xdr:rowOff>
    </xdr:from>
    <xdr:to>
      <xdr:col>5</xdr:col>
      <xdr:colOff>165544</xdr:colOff>
      <xdr:row>15</xdr:row>
      <xdr:rowOff>200525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id="{6814BC54-110F-4875-94D7-13D7545DEE0A}"/>
            </a:ext>
            <a:ext uri="{147F2762-F138-4A5C-976F-8EAC2B608ADB}">
              <a16:predDERef xmlns:a16="http://schemas.microsoft.com/office/drawing/2014/main" pred="{80453558-53AB-4373-8E44-B1E55FB9D9D0}"/>
            </a:ext>
          </a:extLst>
        </xdr:cNvPr>
        <xdr:cNvSpPr/>
      </xdr:nvSpPr>
      <xdr:spPr>
        <a:xfrm>
          <a:off x="4795018" y="3533542"/>
          <a:ext cx="81738" cy="16192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78707</xdr:colOff>
      <xdr:row>18</xdr:row>
      <xdr:rowOff>20003</xdr:rowOff>
    </xdr:from>
    <xdr:to>
      <xdr:col>5</xdr:col>
      <xdr:colOff>170644</xdr:colOff>
      <xdr:row>18</xdr:row>
      <xdr:rowOff>182757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7D0C79A3-D6E2-4047-A704-D06D1D7504E3}"/>
            </a:ext>
            <a:ext uri="{147F2762-F138-4A5C-976F-8EAC2B608ADB}">
              <a16:predDERef xmlns:a16="http://schemas.microsoft.com/office/drawing/2014/main" pred="{6814BC54-110F-4875-94D7-13D7545DEE0A}"/>
            </a:ext>
          </a:extLst>
        </xdr:cNvPr>
        <xdr:cNvSpPr/>
      </xdr:nvSpPr>
      <xdr:spPr>
        <a:xfrm>
          <a:off x="4789919" y="4247638"/>
          <a:ext cx="91937" cy="162754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88163</xdr:colOff>
      <xdr:row>11</xdr:row>
      <xdr:rowOff>66675</xdr:rowOff>
    </xdr:from>
    <xdr:to>
      <xdr:col>5</xdr:col>
      <xdr:colOff>161188</xdr:colOff>
      <xdr:row>11</xdr:row>
      <xdr:rowOff>225425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9D07DCAF-F4C3-4948-A67B-CABB20FDA59C}"/>
            </a:ext>
            <a:ext uri="{147F2762-F138-4A5C-976F-8EAC2B608ADB}">
              <a16:predDERef xmlns:a16="http://schemas.microsoft.com/office/drawing/2014/main" pred="{7D0C79A3-D6E2-4047-A704-D06D1D7504E3}"/>
            </a:ext>
          </a:extLst>
        </xdr:cNvPr>
        <xdr:cNvSpPr/>
      </xdr:nvSpPr>
      <xdr:spPr>
        <a:xfrm rot="10800000">
          <a:off x="4799375" y="2535848"/>
          <a:ext cx="73025" cy="15875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18956</xdr:colOff>
      <xdr:row>28</xdr:row>
      <xdr:rowOff>56866</xdr:rowOff>
    </xdr:from>
    <xdr:to>
      <xdr:col>5</xdr:col>
      <xdr:colOff>199931</xdr:colOff>
      <xdr:row>28</xdr:row>
      <xdr:rowOff>199741</xdr:rowOff>
    </xdr:to>
    <xdr:sp macro="" textlink="">
      <xdr:nvSpPr>
        <xdr:cNvPr id="8" name="Minus Sign 3">
          <a:extLst>
            <a:ext uri="{FF2B5EF4-FFF2-40B4-BE49-F238E27FC236}">
              <a16:creationId xmlns:a16="http://schemas.microsoft.com/office/drawing/2014/main" id="{B7267DAF-E6B9-6042-8459-B8A26A06E80C}"/>
            </a:ext>
          </a:extLst>
        </xdr:cNvPr>
        <xdr:cNvSpPr/>
      </xdr:nvSpPr>
      <xdr:spPr>
        <a:xfrm>
          <a:off x="4903085" y="6754378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18956</xdr:colOff>
      <xdr:row>29</xdr:row>
      <xdr:rowOff>63184</xdr:rowOff>
    </xdr:from>
    <xdr:to>
      <xdr:col>5</xdr:col>
      <xdr:colOff>199931</xdr:colOff>
      <xdr:row>29</xdr:row>
      <xdr:rowOff>206059</xdr:rowOff>
    </xdr:to>
    <xdr:sp macro="" textlink="">
      <xdr:nvSpPr>
        <xdr:cNvPr id="10" name="Minus Sign 3">
          <a:extLst>
            <a:ext uri="{FF2B5EF4-FFF2-40B4-BE49-F238E27FC236}">
              <a16:creationId xmlns:a16="http://schemas.microsoft.com/office/drawing/2014/main" id="{5443605F-C1F3-B84C-BEAC-0956CA6ED955}"/>
            </a:ext>
          </a:extLst>
        </xdr:cNvPr>
        <xdr:cNvSpPr/>
      </xdr:nvSpPr>
      <xdr:spPr>
        <a:xfrm>
          <a:off x="4903085" y="7013433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65826</xdr:colOff>
      <xdr:row>12</xdr:row>
      <xdr:rowOff>57150</xdr:rowOff>
    </xdr:from>
    <xdr:to>
      <xdr:col>5</xdr:col>
      <xdr:colOff>172606</xdr:colOff>
      <xdr:row>12</xdr:row>
      <xdr:rowOff>209550</xdr:rowOff>
    </xdr:to>
    <xdr:sp macro="" textlink="">
      <xdr:nvSpPr>
        <xdr:cNvPr id="97" name="Arrow: Up 23">
          <a:extLst>
            <a:ext uri="{FF2B5EF4-FFF2-40B4-BE49-F238E27FC236}">
              <a16:creationId xmlns:a16="http://schemas.microsoft.com/office/drawing/2014/main" id="{A4120A7D-3EFC-4F97-8D24-766351FFFC32}"/>
            </a:ext>
          </a:extLst>
        </xdr:cNvPr>
        <xdr:cNvSpPr/>
      </xdr:nvSpPr>
      <xdr:spPr>
        <a:xfrm rot="10800000">
          <a:off x="4407221" y="2739189"/>
          <a:ext cx="10678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65826</xdr:colOff>
      <xdr:row>13</xdr:row>
      <xdr:rowOff>57150</xdr:rowOff>
    </xdr:from>
    <xdr:to>
      <xdr:col>5</xdr:col>
      <xdr:colOff>172606</xdr:colOff>
      <xdr:row>13</xdr:row>
      <xdr:rowOff>209550</xdr:rowOff>
    </xdr:to>
    <xdr:sp macro="" textlink="">
      <xdr:nvSpPr>
        <xdr:cNvPr id="101" name="Arrow: Up 24">
          <a:extLst>
            <a:ext uri="{FF2B5EF4-FFF2-40B4-BE49-F238E27FC236}">
              <a16:creationId xmlns:a16="http://schemas.microsoft.com/office/drawing/2014/main" id="{CA5C11EB-4B7B-4D59-A067-B5227DE7F432}"/>
            </a:ext>
          </a:extLst>
        </xdr:cNvPr>
        <xdr:cNvSpPr/>
      </xdr:nvSpPr>
      <xdr:spPr>
        <a:xfrm rot="10800000">
          <a:off x="4407221" y="2994861"/>
          <a:ext cx="10678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65827</xdr:colOff>
      <xdr:row>16</xdr:row>
      <xdr:rowOff>57651</xdr:rowOff>
    </xdr:from>
    <xdr:to>
      <xdr:col>5</xdr:col>
      <xdr:colOff>172607</xdr:colOff>
      <xdr:row>16</xdr:row>
      <xdr:rowOff>216401</xdr:rowOff>
    </xdr:to>
    <xdr:sp macro="" textlink="">
      <xdr:nvSpPr>
        <xdr:cNvPr id="7" name="Arrow: Up 25">
          <a:extLst>
            <a:ext uri="{FF2B5EF4-FFF2-40B4-BE49-F238E27FC236}">
              <a16:creationId xmlns:a16="http://schemas.microsoft.com/office/drawing/2014/main" id="{F9350749-AA95-4575-BC0D-74D8573DABFA}"/>
            </a:ext>
          </a:extLst>
        </xdr:cNvPr>
        <xdr:cNvSpPr/>
      </xdr:nvSpPr>
      <xdr:spPr>
        <a:xfrm rot="10800000">
          <a:off x="4407222" y="3727283"/>
          <a:ext cx="106780" cy="15875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123825</xdr:colOff>
      <xdr:row>22</xdr:row>
      <xdr:rowOff>66675</xdr:rowOff>
    </xdr:from>
    <xdr:to>
      <xdr:col>6</xdr:col>
      <xdr:colOff>0</xdr:colOff>
      <xdr:row>22</xdr:row>
      <xdr:rowOff>208280</xdr:rowOff>
    </xdr:to>
    <xdr:sp macro="" textlink="">
      <xdr:nvSpPr>
        <xdr:cNvPr id="8" name="Arrow: Up 26">
          <a:extLst>
            <a:ext uri="{FF2B5EF4-FFF2-40B4-BE49-F238E27FC236}">
              <a16:creationId xmlns:a16="http://schemas.microsoft.com/office/drawing/2014/main" id="{CCD0E28B-03D3-4382-AD98-46D43DC31119}"/>
            </a:ext>
          </a:extLst>
        </xdr:cNvPr>
        <xdr:cNvSpPr/>
      </xdr:nvSpPr>
      <xdr:spPr>
        <a:xfrm rot="10800000">
          <a:off x="4067881" y="5238397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123825</xdr:colOff>
      <xdr:row>23</xdr:row>
      <xdr:rowOff>66675</xdr:rowOff>
    </xdr:from>
    <xdr:to>
      <xdr:col>6</xdr:col>
      <xdr:colOff>0</xdr:colOff>
      <xdr:row>23</xdr:row>
      <xdr:rowOff>208280</xdr:rowOff>
    </xdr:to>
    <xdr:sp macro="" textlink="">
      <xdr:nvSpPr>
        <xdr:cNvPr id="5" name="Arrow: Up 27">
          <a:extLst>
            <a:ext uri="{FF2B5EF4-FFF2-40B4-BE49-F238E27FC236}">
              <a16:creationId xmlns:a16="http://schemas.microsoft.com/office/drawing/2014/main" id="{47395C6E-DF41-404A-97F2-F73B4B46BC95}"/>
            </a:ext>
          </a:extLst>
        </xdr:cNvPr>
        <xdr:cNvSpPr/>
      </xdr:nvSpPr>
      <xdr:spPr>
        <a:xfrm rot="10800000">
          <a:off x="4067881" y="5492397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20</xdr:row>
      <xdr:rowOff>57150</xdr:rowOff>
    </xdr:from>
    <xdr:to>
      <xdr:col>5</xdr:col>
      <xdr:colOff>180975</xdr:colOff>
      <xdr:row>20</xdr:row>
      <xdr:rowOff>209550</xdr:rowOff>
    </xdr:to>
    <xdr:sp macro="" textlink="">
      <xdr:nvSpPr>
        <xdr:cNvPr id="100" name="Up Arrow 10">
          <a:extLst>
            <a:ext uri="{FF2B5EF4-FFF2-40B4-BE49-F238E27FC236}">
              <a16:creationId xmlns:a16="http://schemas.microsoft.com/office/drawing/2014/main" id="{4FFC4129-5F20-490C-B7AF-9C7A264E62A2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43645" y="4653998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114300</xdr:colOff>
      <xdr:row>25</xdr:row>
      <xdr:rowOff>47625</xdr:rowOff>
    </xdr:from>
    <xdr:to>
      <xdr:col>5</xdr:col>
      <xdr:colOff>190500</xdr:colOff>
      <xdr:row>25</xdr:row>
      <xdr:rowOff>200025</xdr:rowOff>
    </xdr:to>
    <xdr:sp macro="" textlink="">
      <xdr:nvSpPr>
        <xdr:cNvPr id="11" name="Up Arrow 10">
          <a:extLst>
            <a:ext uri="{FF2B5EF4-FFF2-40B4-BE49-F238E27FC236}">
              <a16:creationId xmlns:a16="http://schemas.microsoft.com/office/drawing/2014/main" id="{8B06A659-89E7-4A0F-B631-47EDC2C5DD7F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5524500" y="536257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26</xdr:row>
      <xdr:rowOff>66676</xdr:rowOff>
    </xdr:from>
    <xdr:to>
      <xdr:col>5</xdr:col>
      <xdr:colOff>257175</xdr:colOff>
      <xdr:row>26</xdr:row>
      <xdr:rowOff>209551</xdr:rowOff>
    </xdr:to>
    <xdr:sp macro="" textlink="">
      <xdr:nvSpPr>
        <xdr:cNvPr id="112" name="Minus Sign 3">
          <a:extLst>
            <a:ext uri="{FF2B5EF4-FFF2-40B4-BE49-F238E27FC236}">
              <a16:creationId xmlns:a16="http://schemas.microsoft.com/office/drawing/2014/main" id="{8BE31EF7-BA13-4935-BF9D-AEA3335DDA98}"/>
            </a:ext>
          </a:extLst>
        </xdr:cNvPr>
        <xdr:cNvSpPr/>
      </xdr:nvSpPr>
      <xdr:spPr>
        <a:xfrm>
          <a:off x="5486400" y="5629276"/>
          <a:ext cx="1809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21</xdr:row>
      <xdr:rowOff>47626</xdr:rowOff>
    </xdr:from>
    <xdr:to>
      <xdr:col>5</xdr:col>
      <xdr:colOff>247650</xdr:colOff>
      <xdr:row>21</xdr:row>
      <xdr:rowOff>190501</xdr:rowOff>
    </xdr:to>
    <xdr:sp macro="" textlink="">
      <xdr:nvSpPr>
        <xdr:cNvPr id="107" name="Minus Sign 3">
          <a:extLst>
            <a:ext uri="{FF2B5EF4-FFF2-40B4-BE49-F238E27FC236}">
              <a16:creationId xmlns:a16="http://schemas.microsoft.com/office/drawing/2014/main" id="{957A2A84-A2DB-42E1-8DF3-306CEBB59F43}"/>
            </a:ext>
          </a:extLst>
        </xdr:cNvPr>
        <xdr:cNvSpPr/>
      </xdr:nvSpPr>
      <xdr:spPr>
        <a:xfrm>
          <a:off x="5476875" y="4371976"/>
          <a:ext cx="180975" cy="142875"/>
        </a:xfrm>
        <a:prstGeom prst="mathMinus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114300</xdr:colOff>
      <xdr:row>28</xdr:row>
      <xdr:rowOff>66675</xdr:rowOff>
    </xdr:from>
    <xdr:to>
      <xdr:col>5</xdr:col>
      <xdr:colOff>190500</xdr:colOff>
      <xdr:row>28</xdr:row>
      <xdr:rowOff>219075</xdr:rowOff>
    </xdr:to>
    <xdr:sp macro="" textlink="">
      <xdr:nvSpPr>
        <xdr:cNvPr id="3" name="Up Arrow 2">
          <a:extLst>
            <a:ext uri="{FF2B5EF4-FFF2-40B4-BE49-F238E27FC236}">
              <a16:creationId xmlns:a16="http://schemas.microsoft.com/office/drawing/2014/main" id="{B27BC61D-374C-4B9A-B7DE-C33ADE7627AA}"/>
            </a:ext>
            <a:ext uri="{147F2762-F138-4A5C-976F-8EAC2B608ADB}">
              <a16:predDERef xmlns:a16="http://schemas.microsoft.com/office/drawing/2014/main" pred="{5AC2F43E-D938-4B84-B689-3B670C4C2061}"/>
            </a:ext>
          </a:extLst>
        </xdr:cNvPr>
        <xdr:cNvSpPr/>
      </xdr:nvSpPr>
      <xdr:spPr>
        <a:xfrm>
          <a:off x="3962400" y="682942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34</xdr:row>
      <xdr:rowOff>66675</xdr:rowOff>
    </xdr:from>
    <xdr:to>
      <xdr:col>5</xdr:col>
      <xdr:colOff>161925</xdr:colOff>
      <xdr:row>34</xdr:row>
      <xdr:rowOff>219075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5900D26D-3FCB-4941-9017-FA6DADF4F2E1}"/>
            </a:ext>
            <a:ext uri="{147F2762-F138-4A5C-976F-8EAC2B608ADB}">
              <a16:predDERef xmlns:a16="http://schemas.microsoft.com/office/drawing/2014/main" pred="{1E815788-79D2-431C-B3AA-7A32D8D776C5}"/>
            </a:ext>
          </a:extLst>
        </xdr:cNvPr>
        <xdr:cNvSpPr/>
      </xdr:nvSpPr>
      <xdr:spPr>
        <a:xfrm rot="10800000">
          <a:off x="3933825" y="837247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105799</xdr:colOff>
      <xdr:row>27</xdr:row>
      <xdr:rowOff>27900</xdr:rowOff>
    </xdr:from>
    <xdr:to>
      <xdr:col>5</xdr:col>
      <xdr:colOff>181999</xdr:colOff>
      <xdr:row>27</xdr:row>
      <xdr:rowOff>174465</xdr:rowOff>
    </xdr:to>
    <xdr:sp macro="" textlink="">
      <xdr:nvSpPr>
        <xdr:cNvPr id="13" name="Up Arrow 10">
          <a:extLst>
            <a:ext uri="{FF2B5EF4-FFF2-40B4-BE49-F238E27FC236}">
              <a16:creationId xmlns:a16="http://schemas.microsoft.com/office/drawing/2014/main" id="{3C5E1B26-BF50-C640-A19A-B2D01ABF8066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4612004" y="6423804"/>
          <a:ext cx="76200" cy="14656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38253</xdr:colOff>
      <xdr:row>29</xdr:row>
      <xdr:rowOff>84157</xdr:rowOff>
    </xdr:from>
    <xdr:to>
      <xdr:col>5</xdr:col>
      <xdr:colOff>206528</xdr:colOff>
      <xdr:row>29</xdr:row>
      <xdr:rowOff>227032</xdr:rowOff>
    </xdr:to>
    <xdr:sp macro="" textlink="">
      <xdr:nvSpPr>
        <xdr:cNvPr id="14" name="Minus Sign 3">
          <a:extLst>
            <a:ext uri="{FF2B5EF4-FFF2-40B4-BE49-F238E27FC236}">
              <a16:creationId xmlns:a16="http://schemas.microsoft.com/office/drawing/2014/main" id="{B7CD8D47-D3AD-9A47-BF25-A49A167F9D6D}"/>
            </a:ext>
          </a:extLst>
        </xdr:cNvPr>
        <xdr:cNvSpPr/>
      </xdr:nvSpPr>
      <xdr:spPr>
        <a:xfrm>
          <a:off x="4544458" y="6985000"/>
          <a:ext cx="16827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60235</xdr:colOff>
      <xdr:row>11</xdr:row>
      <xdr:rowOff>49694</xdr:rowOff>
    </xdr:from>
    <xdr:to>
      <xdr:col>5</xdr:col>
      <xdr:colOff>178197</xdr:colOff>
      <xdr:row>11</xdr:row>
      <xdr:rowOff>211537</xdr:rowOff>
    </xdr:to>
    <xdr:sp macro="" textlink="">
      <xdr:nvSpPr>
        <xdr:cNvPr id="4" name="Arrow: Up 23">
          <a:extLst>
            <a:ext uri="{FF2B5EF4-FFF2-40B4-BE49-F238E27FC236}">
              <a16:creationId xmlns:a16="http://schemas.microsoft.com/office/drawing/2014/main" id="{1B5FA8E9-EA2E-46FE-9825-28A484956472}"/>
            </a:ext>
          </a:extLst>
        </xdr:cNvPr>
        <xdr:cNvSpPr/>
      </xdr:nvSpPr>
      <xdr:spPr>
        <a:xfrm rot="10800000">
          <a:off x="4401630" y="2476062"/>
          <a:ext cx="117962" cy="161843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62819</xdr:colOff>
      <xdr:row>15</xdr:row>
      <xdr:rowOff>44617</xdr:rowOff>
    </xdr:from>
    <xdr:to>
      <xdr:col>5</xdr:col>
      <xdr:colOff>169599</xdr:colOff>
      <xdr:row>15</xdr:row>
      <xdr:rowOff>203367</xdr:rowOff>
    </xdr:to>
    <xdr:sp macro="" textlink="">
      <xdr:nvSpPr>
        <xdr:cNvPr id="9" name="Arrow: Up 25">
          <a:extLst>
            <a:ext uri="{FF2B5EF4-FFF2-40B4-BE49-F238E27FC236}">
              <a16:creationId xmlns:a16="http://schemas.microsoft.com/office/drawing/2014/main" id="{E8B9BA47-5C9F-4306-8CF4-8C22B72D72C8}"/>
            </a:ext>
          </a:extLst>
        </xdr:cNvPr>
        <xdr:cNvSpPr/>
      </xdr:nvSpPr>
      <xdr:spPr>
        <a:xfrm>
          <a:off x="4404214" y="3493670"/>
          <a:ext cx="106780" cy="15875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62819</xdr:colOff>
      <xdr:row>18</xdr:row>
      <xdr:rowOff>49630</xdr:rowOff>
    </xdr:from>
    <xdr:to>
      <xdr:col>5</xdr:col>
      <xdr:colOff>169599</xdr:colOff>
      <xdr:row>18</xdr:row>
      <xdr:rowOff>208380</xdr:rowOff>
    </xdr:to>
    <xdr:sp macro="" textlink="">
      <xdr:nvSpPr>
        <xdr:cNvPr id="10" name="Arrow: Up 25">
          <a:extLst>
            <a:ext uri="{FF2B5EF4-FFF2-40B4-BE49-F238E27FC236}">
              <a16:creationId xmlns:a16="http://schemas.microsoft.com/office/drawing/2014/main" id="{E103013A-A36C-4F2D-B9BB-CAD3A0E2DE67}"/>
            </a:ext>
          </a:extLst>
        </xdr:cNvPr>
        <xdr:cNvSpPr/>
      </xdr:nvSpPr>
      <xdr:spPr>
        <a:xfrm rot="10800000">
          <a:off x="4404214" y="4230604"/>
          <a:ext cx="106780" cy="15875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126206</xdr:colOff>
      <xdr:row>19</xdr:row>
      <xdr:rowOff>54768</xdr:rowOff>
    </xdr:from>
    <xdr:to>
      <xdr:col>5</xdr:col>
      <xdr:colOff>202406</xdr:colOff>
      <xdr:row>19</xdr:row>
      <xdr:rowOff>207168</xdr:rowOff>
    </xdr:to>
    <xdr:sp macro="" textlink="">
      <xdr:nvSpPr>
        <xdr:cNvPr id="89" name="Up Arrow 10">
          <a:extLst>
            <a:ext uri="{FF2B5EF4-FFF2-40B4-BE49-F238E27FC236}">
              <a16:creationId xmlns:a16="http://schemas.microsoft.com/office/drawing/2014/main" id="{F17BF667-9D95-4943-879E-4271DAC6450A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6115050" y="4281487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135731</xdr:colOff>
      <xdr:row>21</xdr:row>
      <xdr:rowOff>40481</xdr:rowOff>
    </xdr:from>
    <xdr:to>
      <xdr:col>5</xdr:col>
      <xdr:colOff>211931</xdr:colOff>
      <xdr:row>21</xdr:row>
      <xdr:rowOff>192881</xdr:rowOff>
    </xdr:to>
    <xdr:sp macro="" textlink="">
      <xdr:nvSpPr>
        <xdr:cNvPr id="87" name="Up Arrow 10">
          <a:extLst>
            <a:ext uri="{FF2B5EF4-FFF2-40B4-BE49-F238E27FC236}">
              <a16:creationId xmlns:a16="http://schemas.microsoft.com/office/drawing/2014/main" id="{D22A3D39-8C24-4E40-8029-F71EA5877769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6124575" y="4767262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108896</xdr:colOff>
      <xdr:row>12</xdr:row>
      <xdr:rowOff>45243</xdr:rowOff>
    </xdr:from>
    <xdr:to>
      <xdr:col>5</xdr:col>
      <xdr:colOff>185096</xdr:colOff>
      <xdr:row>12</xdr:row>
      <xdr:rowOff>206533</xdr:rowOff>
    </xdr:to>
    <xdr:sp macro="" textlink="">
      <xdr:nvSpPr>
        <xdr:cNvPr id="98" name="Arrow: Up 24">
          <a:extLst>
            <a:ext uri="{FF2B5EF4-FFF2-40B4-BE49-F238E27FC236}">
              <a16:creationId xmlns:a16="http://schemas.microsoft.com/office/drawing/2014/main" id="{99DBC120-B8DE-4D10-9ADD-B54C8F65248C}"/>
            </a:ext>
          </a:extLst>
        </xdr:cNvPr>
        <xdr:cNvSpPr/>
      </xdr:nvSpPr>
      <xdr:spPr>
        <a:xfrm rot="10800000">
          <a:off x="4473831" y="3118091"/>
          <a:ext cx="76200" cy="16129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63235</xdr:colOff>
      <xdr:row>24</xdr:row>
      <xdr:rowOff>45243</xdr:rowOff>
    </xdr:from>
    <xdr:to>
      <xdr:col>5</xdr:col>
      <xdr:colOff>199760</xdr:colOff>
      <xdr:row>24</xdr:row>
      <xdr:rowOff>188118</xdr:rowOff>
    </xdr:to>
    <xdr:sp macro="" textlink="">
      <xdr:nvSpPr>
        <xdr:cNvPr id="4" name="Minus Sign 3">
          <a:extLst>
            <a:ext uri="{FF2B5EF4-FFF2-40B4-BE49-F238E27FC236}">
              <a16:creationId xmlns:a16="http://schemas.microsoft.com/office/drawing/2014/main" id="{8297EADC-B231-BEB1-2904-846CF9AF07A2}"/>
            </a:ext>
          </a:extLst>
        </xdr:cNvPr>
        <xdr:cNvSpPr/>
      </xdr:nvSpPr>
      <xdr:spPr>
        <a:xfrm>
          <a:off x="4042568" y="6088326"/>
          <a:ext cx="136525" cy="142875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26</xdr:row>
      <xdr:rowOff>47625</xdr:rowOff>
    </xdr:from>
    <xdr:to>
      <xdr:col>5</xdr:col>
      <xdr:colOff>161925</xdr:colOff>
      <xdr:row>26</xdr:row>
      <xdr:rowOff>200025</xdr:rowOff>
    </xdr:to>
    <xdr:sp macro="" textlink="">
      <xdr:nvSpPr>
        <xdr:cNvPr id="5" name="Up Arrow 4">
          <a:extLst>
            <a:ext uri="{FF2B5EF4-FFF2-40B4-BE49-F238E27FC236}">
              <a16:creationId xmlns:a16="http://schemas.microsoft.com/office/drawing/2014/main" id="{688E8856-6C68-4DDD-A646-CD6DC671CFC6}"/>
            </a:ext>
            <a:ext uri="{147F2762-F138-4A5C-976F-8EAC2B608ADB}">
              <a16:predDERef xmlns:a16="http://schemas.microsoft.com/office/drawing/2014/main" pred="{8297EADC-B231-BEB1-2904-846CF9AF07A2}"/>
            </a:ext>
          </a:extLst>
        </xdr:cNvPr>
        <xdr:cNvSpPr/>
      </xdr:nvSpPr>
      <xdr:spPr>
        <a:xfrm>
          <a:off x="3952875" y="668655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95250</xdr:colOff>
      <xdr:row>27</xdr:row>
      <xdr:rowOff>57150</xdr:rowOff>
    </xdr:from>
    <xdr:to>
      <xdr:col>5</xdr:col>
      <xdr:colOff>171450</xdr:colOff>
      <xdr:row>27</xdr:row>
      <xdr:rowOff>209550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67A5B5F1-BA44-48AC-BC21-79E65F29D13E}"/>
            </a:ext>
            <a:ext uri="{147F2762-F138-4A5C-976F-8EAC2B608ADB}">
              <a16:predDERef xmlns:a16="http://schemas.microsoft.com/office/drawing/2014/main" pred="{688E8856-6C68-4DDD-A646-CD6DC671CFC6}"/>
            </a:ext>
          </a:extLst>
        </xdr:cNvPr>
        <xdr:cNvSpPr/>
      </xdr:nvSpPr>
      <xdr:spPr>
        <a:xfrm>
          <a:off x="3962400" y="695325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28</xdr:row>
      <xdr:rowOff>28575</xdr:rowOff>
    </xdr:from>
    <xdr:to>
      <xdr:col>5</xdr:col>
      <xdr:colOff>152400</xdr:colOff>
      <xdr:row>28</xdr:row>
      <xdr:rowOff>180975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7AB8AF2F-3999-490B-8BCC-12CF761A125E}"/>
            </a:ext>
            <a:ext uri="{147F2762-F138-4A5C-976F-8EAC2B608ADB}">
              <a16:predDERef xmlns:a16="http://schemas.microsoft.com/office/drawing/2014/main" pred="{67A5B5F1-BA44-48AC-BC21-79E65F29D13E}"/>
            </a:ext>
          </a:extLst>
        </xdr:cNvPr>
        <xdr:cNvSpPr/>
      </xdr:nvSpPr>
      <xdr:spPr>
        <a:xfrm>
          <a:off x="3943350" y="718185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33</xdr:row>
      <xdr:rowOff>85725</xdr:rowOff>
    </xdr:from>
    <xdr:to>
      <xdr:col>5</xdr:col>
      <xdr:colOff>161925</xdr:colOff>
      <xdr:row>33</xdr:row>
      <xdr:rowOff>244475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591D5667-7278-400B-ADF8-F2CD169A5272}"/>
            </a:ext>
            <a:ext uri="{147F2762-F138-4A5C-976F-8EAC2B608ADB}">
              <a16:predDERef xmlns:a16="http://schemas.microsoft.com/office/drawing/2014/main" pred="{7AB8AF2F-3999-490B-8BCC-12CF761A125E}"/>
            </a:ext>
          </a:extLst>
        </xdr:cNvPr>
        <xdr:cNvSpPr/>
      </xdr:nvSpPr>
      <xdr:spPr>
        <a:xfrm rot="10800000">
          <a:off x="3943350" y="8524875"/>
          <a:ext cx="85725" cy="15875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108897</xdr:colOff>
      <xdr:row>15</xdr:row>
      <xdr:rowOff>80596</xdr:rowOff>
    </xdr:from>
    <xdr:to>
      <xdr:col>5</xdr:col>
      <xdr:colOff>185097</xdr:colOff>
      <xdr:row>15</xdr:row>
      <xdr:rowOff>232996</xdr:rowOff>
    </xdr:to>
    <xdr:sp macro="" textlink="">
      <xdr:nvSpPr>
        <xdr:cNvPr id="2" name="Up Arrow 1">
          <a:extLst>
            <a:ext uri="{FF2B5EF4-FFF2-40B4-BE49-F238E27FC236}">
              <a16:creationId xmlns:a16="http://schemas.microsoft.com/office/drawing/2014/main" id="{C4045308-CE6F-47D8-923C-9682399BFBB9}"/>
            </a:ext>
            <a:ext uri="{147F2762-F138-4A5C-976F-8EAC2B608ADB}">
              <a16:predDERef xmlns:a16="http://schemas.microsoft.com/office/drawing/2014/main" pred="{591D5667-7278-400B-ADF8-F2CD169A5272}"/>
            </a:ext>
          </a:extLst>
        </xdr:cNvPr>
        <xdr:cNvSpPr/>
      </xdr:nvSpPr>
      <xdr:spPr>
        <a:xfrm rot="10800000">
          <a:off x="4473832" y="3882313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108897</xdr:colOff>
      <xdr:row>17</xdr:row>
      <xdr:rowOff>21248</xdr:rowOff>
    </xdr:from>
    <xdr:to>
      <xdr:col>5</xdr:col>
      <xdr:colOff>185097</xdr:colOff>
      <xdr:row>17</xdr:row>
      <xdr:rowOff>173648</xdr:rowOff>
    </xdr:to>
    <xdr:sp macro="" textlink="">
      <xdr:nvSpPr>
        <xdr:cNvPr id="3" name="Up Arrow 2">
          <a:extLst>
            <a:ext uri="{FF2B5EF4-FFF2-40B4-BE49-F238E27FC236}">
              <a16:creationId xmlns:a16="http://schemas.microsoft.com/office/drawing/2014/main" id="{F4DF1CA5-B957-4066-BD63-2F767B725657}"/>
            </a:ext>
            <a:ext uri="{147F2762-F138-4A5C-976F-8EAC2B608ADB}">
              <a16:predDERef xmlns:a16="http://schemas.microsoft.com/office/drawing/2014/main" pred="{C4045308-CE6F-47D8-923C-9682399BFBB9}"/>
            </a:ext>
          </a:extLst>
        </xdr:cNvPr>
        <xdr:cNvSpPr/>
      </xdr:nvSpPr>
      <xdr:spPr>
        <a:xfrm rot="10800000">
          <a:off x="4473832" y="4336487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108896</xdr:colOff>
      <xdr:row>14</xdr:row>
      <xdr:rowOff>38100</xdr:rowOff>
    </xdr:from>
    <xdr:to>
      <xdr:col>5</xdr:col>
      <xdr:colOff>185096</xdr:colOff>
      <xdr:row>14</xdr:row>
      <xdr:rowOff>190500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id="{DD563DCB-6289-4155-83CC-5EE681253573}"/>
            </a:ext>
            <a:ext uri="{147F2762-F138-4A5C-976F-8EAC2B608ADB}">
              <a16:predDERef xmlns:a16="http://schemas.microsoft.com/office/drawing/2014/main" pred="{F4DF1CA5-B957-4066-BD63-2F767B725657}"/>
            </a:ext>
          </a:extLst>
        </xdr:cNvPr>
        <xdr:cNvSpPr/>
      </xdr:nvSpPr>
      <xdr:spPr>
        <a:xfrm>
          <a:off x="4473831" y="3624470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84667</xdr:colOff>
      <xdr:row>25</xdr:row>
      <xdr:rowOff>34863</xdr:rowOff>
    </xdr:from>
    <xdr:to>
      <xdr:col>5</xdr:col>
      <xdr:colOff>171662</xdr:colOff>
      <xdr:row>25</xdr:row>
      <xdr:rowOff>174563</xdr:rowOff>
    </xdr:to>
    <xdr:sp macro="" textlink="">
      <xdr:nvSpPr>
        <xdr:cNvPr id="11" name="Arrow: Up 27">
          <a:extLst>
            <a:ext uri="{FF2B5EF4-FFF2-40B4-BE49-F238E27FC236}">
              <a16:creationId xmlns:a16="http://schemas.microsoft.com/office/drawing/2014/main" id="{86032D4C-A8FA-FC41-A7B7-3E1122DAB8FE}"/>
            </a:ext>
          </a:extLst>
        </xdr:cNvPr>
        <xdr:cNvSpPr/>
      </xdr:nvSpPr>
      <xdr:spPr>
        <a:xfrm rot="10800000">
          <a:off x="4611843" y="6330079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108896</xdr:colOff>
      <xdr:row>11</xdr:row>
      <xdr:rowOff>51197</xdr:rowOff>
    </xdr:from>
    <xdr:to>
      <xdr:col>5</xdr:col>
      <xdr:colOff>185096</xdr:colOff>
      <xdr:row>11</xdr:row>
      <xdr:rowOff>212487</xdr:rowOff>
    </xdr:to>
    <xdr:sp macro="" textlink="">
      <xdr:nvSpPr>
        <xdr:cNvPr id="12" name="Arrow: Up 24">
          <a:extLst>
            <a:ext uri="{FF2B5EF4-FFF2-40B4-BE49-F238E27FC236}">
              <a16:creationId xmlns:a16="http://schemas.microsoft.com/office/drawing/2014/main" id="{6CC74EDA-62AE-42BA-9304-44B017D87B8C}"/>
            </a:ext>
          </a:extLst>
        </xdr:cNvPr>
        <xdr:cNvSpPr/>
      </xdr:nvSpPr>
      <xdr:spPr>
        <a:xfrm rot="10800000">
          <a:off x="4473831" y="2867284"/>
          <a:ext cx="76200" cy="16129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108896</xdr:colOff>
      <xdr:row>10</xdr:row>
      <xdr:rowOff>48815</xdr:rowOff>
    </xdr:from>
    <xdr:to>
      <xdr:col>5</xdr:col>
      <xdr:colOff>185096</xdr:colOff>
      <xdr:row>10</xdr:row>
      <xdr:rowOff>210105</xdr:rowOff>
    </xdr:to>
    <xdr:sp macro="" textlink="">
      <xdr:nvSpPr>
        <xdr:cNvPr id="13" name="Arrow: Up 24">
          <a:extLst>
            <a:ext uri="{FF2B5EF4-FFF2-40B4-BE49-F238E27FC236}">
              <a16:creationId xmlns:a16="http://schemas.microsoft.com/office/drawing/2014/main" id="{E457910E-1B2B-4376-B0E8-F90BB578DC49}"/>
            </a:ext>
          </a:extLst>
        </xdr:cNvPr>
        <xdr:cNvSpPr/>
      </xdr:nvSpPr>
      <xdr:spPr>
        <a:xfrm rot="10800000">
          <a:off x="4473831" y="2608141"/>
          <a:ext cx="76200" cy="16129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107156</xdr:colOff>
      <xdr:row>19</xdr:row>
      <xdr:rowOff>42862</xdr:rowOff>
    </xdr:from>
    <xdr:to>
      <xdr:col>5</xdr:col>
      <xdr:colOff>183356</xdr:colOff>
      <xdr:row>19</xdr:row>
      <xdr:rowOff>195262</xdr:rowOff>
    </xdr:to>
    <xdr:sp macro="" textlink="">
      <xdr:nvSpPr>
        <xdr:cNvPr id="72" name="Up Arrow 10">
          <a:extLst>
            <a:ext uri="{FF2B5EF4-FFF2-40B4-BE49-F238E27FC236}">
              <a16:creationId xmlns:a16="http://schemas.microsoft.com/office/drawing/2014/main" id="{3EFD5295-AEF4-451D-BBF6-7076EFEEC590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6786562" y="4376737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100013</xdr:colOff>
      <xdr:row>11</xdr:row>
      <xdr:rowOff>59531</xdr:rowOff>
    </xdr:from>
    <xdr:to>
      <xdr:col>5</xdr:col>
      <xdr:colOff>169863</xdr:colOff>
      <xdr:row>11</xdr:row>
      <xdr:rowOff>212566</xdr:rowOff>
    </xdr:to>
    <xdr:sp macro="" textlink="">
      <xdr:nvSpPr>
        <xdr:cNvPr id="57" name="Arrow: Up 18">
          <a:extLst>
            <a:ext uri="{FF2B5EF4-FFF2-40B4-BE49-F238E27FC236}">
              <a16:creationId xmlns:a16="http://schemas.microsoft.com/office/drawing/2014/main" id="{96BE93F6-031A-406D-8A2F-649E43A1B164}"/>
            </a:ext>
          </a:extLst>
        </xdr:cNvPr>
        <xdr:cNvSpPr/>
      </xdr:nvSpPr>
      <xdr:spPr>
        <a:xfrm rot="10800000">
          <a:off x="4443413" y="2974181"/>
          <a:ext cx="79375" cy="14922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107157</xdr:colOff>
      <xdr:row>12</xdr:row>
      <xdr:rowOff>38099</xdr:rowOff>
    </xdr:from>
    <xdr:to>
      <xdr:col>5</xdr:col>
      <xdr:colOff>170022</xdr:colOff>
      <xdr:row>12</xdr:row>
      <xdr:rowOff>170022</xdr:rowOff>
    </xdr:to>
    <xdr:sp macro="" textlink="">
      <xdr:nvSpPr>
        <xdr:cNvPr id="58" name="Arrow: Up 19">
          <a:extLst>
            <a:ext uri="{FF2B5EF4-FFF2-40B4-BE49-F238E27FC236}">
              <a16:creationId xmlns:a16="http://schemas.microsoft.com/office/drawing/2014/main" id="{E340C33F-CCA1-46FB-BB3F-5B92F17B229C}"/>
            </a:ext>
          </a:extLst>
        </xdr:cNvPr>
        <xdr:cNvSpPr/>
      </xdr:nvSpPr>
      <xdr:spPr>
        <a:xfrm rot="10800000">
          <a:off x="4450557" y="3200399"/>
          <a:ext cx="76200" cy="145258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95251</xdr:colOff>
      <xdr:row>15</xdr:row>
      <xdr:rowOff>54768</xdr:rowOff>
    </xdr:from>
    <xdr:to>
      <xdr:col>5</xdr:col>
      <xdr:colOff>167641</xdr:colOff>
      <xdr:row>15</xdr:row>
      <xdr:rowOff>210978</xdr:rowOff>
    </xdr:to>
    <xdr:sp macro="" textlink="">
      <xdr:nvSpPr>
        <xdr:cNvPr id="62" name="Arrow: Up 20">
          <a:extLst>
            <a:ext uri="{FF2B5EF4-FFF2-40B4-BE49-F238E27FC236}">
              <a16:creationId xmlns:a16="http://schemas.microsoft.com/office/drawing/2014/main" id="{F20665B2-3A0A-4E8C-8444-AF47027CB052}"/>
            </a:ext>
          </a:extLst>
        </xdr:cNvPr>
        <xdr:cNvSpPr/>
      </xdr:nvSpPr>
      <xdr:spPr>
        <a:xfrm rot="10800000">
          <a:off x="6774657" y="3388518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102395</xdr:colOff>
      <xdr:row>20</xdr:row>
      <xdr:rowOff>26193</xdr:rowOff>
    </xdr:from>
    <xdr:to>
      <xdr:col>5</xdr:col>
      <xdr:colOff>174150</xdr:colOff>
      <xdr:row>20</xdr:row>
      <xdr:rowOff>174148</xdr:rowOff>
    </xdr:to>
    <xdr:sp macro="" textlink="">
      <xdr:nvSpPr>
        <xdr:cNvPr id="71" name="Arrow: Up 21">
          <a:extLst>
            <a:ext uri="{FF2B5EF4-FFF2-40B4-BE49-F238E27FC236}">
              <a16:creationId xmlns:a16="http://schemas.microsoft.com/office/drawing/2014/main" id="{0F5AF3EA-8BAE-456C-9645-47B762AFD975}"/>
            </a:ext>
          </a:extLst>
        </xdr:cNvPr>
        <xdr:cNvSpPr/>
      </xdr:nvSpPr>
      <xdr:spPr>
        <a:xfrm rot="10800000">
          <a:off x="6781801" y="4610099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94292</xdr:colOff>
      <xdr:row>25</xdr:row>
      <xdr:rowOff>41440</xdr:rowOff>
    </xdr:from>
    <xdr:to>
      <xdr:col>5</xdr:col>
      <xdr:colOff>174302</xdr:colOff>
      <xdr:row>25</xdr:row>
      <xdr:rowOff>210350</xdr:rowOff>
    </xdr:to>
    <xdr:sp macro="" textlink="">
      <xdr:nvSpPr>
        <xdr:cNvPr id="6" name="Arrow: Up 22">
          <a:extLst>
            <a:ext uri="{FF2B5EF4-FFF2-40B4-BE49-F238E27FC236}">
              <a16:creationId xmlns:a16="http://schemas.microsoft.com/office/drawing/2014/main" id="{355FC25C-16FF-46FB-B0C8-2B1DAA0D21AF}"/>
            </a:ext>
          </a:extLst>
        </xdr:cNvPr>
        <xdr:cNvSpPr/>
      </xdr:nvSpPr>
      <xdr:spPr>
        <a:xfrm rot="10800000">
          <a:off x="4691889" y="6657254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43170</xdr:colOff>
      <xdr:row>26</xdr:row>
      <xdr:rowOff>69376</xdr:rowOff>
    </xdr:from>
    <xdr:to>
      <xdr:col>5</xdr:col>
      <xdr:colOff>195570</xdr:colOff>
      <xdr:row>26</xdr:row>
      <xdr:rowOff>215426</xdr:rowOff>
    </xdr:to>
    <xdr:sp macro="" textlink="">
      <xdr:nvSpPr>
        <xdr:cNvPr id="11" name="Minus Sign 3">
          <a:extLst>
            <a:ext uri="{FF2B5EF4-FFF2-40B4-BE49-F238E27FC236}">
              <a16:creationId xmlns:a16="http://schemas.microsoft.com/office/drawing/2014/main" id="{03C77BB9-5889-46D2-A03E-6CE81F409869}"/>
            </a:ext>
          </a:extLst>
        </xdr:cNvPr>
        <xdr:cNvSpPr/>
      </xdr:nvSpPr>
      <xdr:spPr>
        <a:xfrm>
          <a:off x="4640767" y="6941159"/>
          <a:ext cx="152400" cy="146050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100011</xdr:colOff>
      <xdr:row>21</xdr:row>
      <xdr:rowOff>47625</xdr:rowOff>
    </xdr:from>
    <xdr:to>
      <xdr:col>5</xdr:col>
      <xdr:colOff>176211</xdr:colOff>
      <xdr:row>21</xdr:row>
      <xdr:rowOff>200025</xdr:rowOff>
    </xdr:to>
    <xdr:sp macro="" textlink="">
      <xdr:nvSpPr>
        <xdr:cNvPr id="70" name="Up Arrow 10">
          <a:extLst>
            <a:ext uri="{FF2B5EF4-FFF2-40B4-BE49-F238E27FC236}">
              <a16:creationId xmlns:a16="http://schemas.microsoft.com/office/drawing/2014/main" id="{93A095C1-8328-46C9-AEA6-33D702E59366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6779417" y="4881563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95250</xdr:colOff>
      <xdr:row>22</xdr:row>
      <xdr:rowOff>42862</xdr:rowOff>
    </xdr:from>
    <xdr:to>
      <xdr:col>5</xdr:col>
      <xdr:colOff>167640</xdr:colOff>
      <xdr:row>22</xdr:row>
      <xdr:rowOff>206057</xdr:rowOff>
    </xdr:to>
    <xdr:sp macro="" textlink="">
      <xdr:nvSpPr>
        <xdr:cNvPr id="73" name="Arrow: Up 27">
          <a:extLst>
            <a:ext uri="{FF2B5EF4-FFF2-40B4-BE49-F238E27FC236}">
              <a16:creationId xmlns:a16="http://schemas.microsoft.com/office/drawing/2014/main" id="{4517623A-0141-43A5-9BC2-B74C561FAC18}"/>
            </a:ext>
          </a:extLst>
        </xdr:cNvPr>
        <xdr:cNvSpPr/>
      </xdr:nvSpPr>
      <xdr:spPr>
        <a:xfrm rot="10800000">
          <a:off x="6774656" y="5126831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92870</xdr:colOff>
      <xdr:row>17</xdr:row>
      <xdr:rowOff>4763</xdr:rowOff>
    </xdr:from>
    <xdr:to>
      <xdr:col>5</xdr:col>
      <xdr:colOff>168435</xdr:colOff>
      <xdr:row>17</xdr:row>
      <xdr:rowOff>160338</xdr:rowOff>
    </xdr:to>
    <xdr:sp macro="" textlink="">
      <xdr:nvSpPr>
        <xdr:cNvPr id="63" name="Arrow: Up 29">
          <a:extLst>
            <a:ext uri="{FF2B5EF4-FFF2-40B4-BE49-F238E27FC236}">
              <a16:creationId xmlns:a16="http://schemas.microsoft.com/office/drawing/2014/main" id="{13E052B5-AD10-476F-912F-DC2738DAB2BB}"/>
            </a:ext>
          </a:extLst>
        </xdr:cNvPr>
        <xdr:cNvSpPr/>
      </xdr:nvSpPr>
      <xdr:spPr>
        <a:xfrm rot="10800000">
          <a:off x="4512470" y="4433888"/>
          <a:ext cx="75565" cy="15557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95250</xdr:colOff>
      <xdr:row>14</xdr:row>
      <xdr:rowOff>23813</xdr:rowOff>
    </xdr:from>
    <xdr:to>
      <xdr:col>5</xdr:col>
      <xdr:colOff>171450</xdr:colOff>
      <xdr:row>14</xdr:row>
      <xdr:rowOff>176213</xdr:rowOff>
    </xdr:to>
    <xdr:sp macro="" textlink="">
      <xdr:nvSpPr>
        <xdr:cNvPr id="61" name="Up Arrow 10">
          <a:extLst>
            <a:ext uri="{FF2B5EF4-FFF2-40B4-BE49-F238E27FC236}">
              <a16:creationId xmlns:a16="http://schemas.microsoft.com/office/drawing/2014/main" id="{204BC73E-9465-4559-9E86-8F4BC8D07984}"/>
            </a:ext>
            <a:ext uri="{147F2762-F138-4A5C-976F-8EAC2B608ADB}">
              <a16:predDERef xmlns:a16="http://schemas.microsoft.com/office/drawing/2014/main" pred="{9C549247-2283-4218-AF44-ADFBC873EB99}"/>
            </a:ext>
          </a:extLst>
        </xdr:cNvPr>
        <xdr:cNvSpPr/>
      </xdr:nvSpPr>
      <xdr:spPr>
        <a:xfrm>
          <a:off x="6774656" y="3178969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25852</xdr:colOff>
      <xdr:row>27</xdr:row>
      <xdr:rowOff>63603</xdr:rowOff>
    </xdr:from>
    <xdr:to>
      <xdr:col>5</xdr:col>
      <xdr:colOff>171902</xdr:colOff>
      <xdr:row>27</xdr:row>
      <xdr:rowOff>209653</xdr:rowOff>
    </xdr:to>
    <xdr:sp macro="" textlink="">
      <xdr:nvSpPr>
        <xdr:cNvPr id="12" name="Minus Sign 3">
          <a:extLst>
            <a:ext uri="{FF2B5EF4-FFF2-40B4-BE49-F238E27FC236}">
              <a16:creationId xmlns:a16="http://schemas.microsoft.com/office/drawing/2014/main" id="{D56015CE-9F90-925C-8A6F-DFED2B4C9434}"/>
            </a:ext>
          </a:extLst>
        </xdr:cNvPr>
        <xdr:cNvSpPr/>
      </xdr:nvSpPr>
      <xdr:spPr>
        <a:xfrm>
          <a:off x="4623449" y="7191355"/>
          <a:ext cx="146050" cy="146050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61383</xdr:colOff>
      <xdr:row>24</xdr:row>
      <xdr:rowOff>80698</xdr:rowOff>
    </xdr:from>
    <xdr:to>
      <xdr:col>5</xdr:col>
      <xdr:colOff>207433</xdr:colOff>
      <xdr:row>24</xdr:row>
      <xdr:rowOff>226748</xdr:rowOff>
    </xdr:to>
    <xdr:sp macro="" textlink="">
      <xdr:nvSpPr>
        <xdr:cNvPr id="18" name="Minus Sign 3">
          <a:extLst>
            <a:ext uri="{FF2B5EF4-FFF2-40B4-BE49-F238E27FC236}">
              <a16:creationId xmlns:a16="http://schemas.microsoft.com/office/drawing/2014/main" id="{4D69A518-B775-37FE-793D-769D25BA5CBF}"/>
            </a:ext>
          </a:extLst>
        </xdr:cNvPr>
        <xdr:cNvSpPr/>
      </xdr:nvSpPr>
      <xdr:spPr>
        <a:xfrm>
          <a:off x="4252383" y="6240198"/>
          <a:ext cx="146050" cy="146050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95250</xdr:colOff>
      <xdr:row>33</xdr:row>
      <xdr:rowOff>57150</xdr:rowOff>
    </xdr:from>
    <xdr:to>
      <xdr:col>5</xdr:col>
      <xdr:colOff>171450</xdr:colOff>
      <xdr:row>33</xdr:row>
      <xdr:rowOff>209550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id="{643CE2D1-C6B8-40AD-A0B9-83D2CACCEE82}"/>
            </a:ext>
            <a:ext uri="{147F2762-F138-4A5C-976F-8EAC2B608ADB}">
              <a16:predDERef xmlns:a16="http://schemas.microsoft.com/office/drawing/2014/main" pred="{4D69A518-B775-37FE-793D-769D25BA5CBF}"/>
            </a:ext>
          </a:extLst>
        </xdr:cNvPr>
        <xdr:cNvSpPr/>
      </xdr:nvSpPr>
      <xdr:spPr>
        <a:xfrm rot="10800000">
          <a:off x="4019550" y="8601075"/>
          <a:ext cx="76200" cy="152400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42902</xdr:colOff>
      <xdr:row>28</xdr:row>
      <xdr:rowOff>73939</xdr:rowOff>
    </xdr:from>
    <xdr:to>
      <xdr:col>5</xdr:col>
      <xdr:colOff>188952</xdr:colOff>
      <xdr:row>28</xdr:row>
      <xdr:rowOff>219989</xdr:rowOff>
    </xdr:to>
    <xdr:sp macro="" textlink="">
      <xdr:nvSpPr>
        <xdr:cNvPr id="9" name="Minus Sign 3">
          <a:extLst>
            <a:ext uri="{FF2B5EF4-FFF2-40B4-BE49-F238E27FC236}">
              <a16:creationId xmlns:a16="http://schemas.microsoft.com/office/drawing/2014/main" id="{79B6CFC3-83E2-FA43-A33D-C96D275AE7C9}"/>
            </a:ext>
          </a:extLst>
        </xdr:cNvPr>
        <xdr:cNvSpPr/>
      </xdr:nvSpPr>
      <xdr:spPr>
        <a:xfrm>
          <a:off x="4640499" y="7457660"/>
          <a:ext cx="146050" cy="146050"/>
        </a:xfrm>
        <a:prstGeom prst="mathMinus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107895</xdr:colOff>
      <xdr:row>10</xdr:row>
      <xdr:rowOff>64129</xdr:rowOff>
    </xdr:from>
    <xdr:to>
      <xdr:col>5</xdr:col>
      <xdr:colOff>177745</xdr:colOff>
      <xdr:row>10</xdr:row>
      <xdr:rowOff>217164</xdr:rowOff>
    </xdr:to>
    <xdr:sp macro="" textlink="">
      <xdr:nvSpPr>
        <xdr:cNvPr id="2" name="Arrow: Up 18">
          <a:extLst>
            <a:ext uri="{FF2B5EF4-FFF2-40B4-BE49-F238E27FC236}">
              <a16:creationId xmlns:a16="http://schemas.microsoft.com/office/drawing/2014/main" id="{33BD4E30-05AD-4979-8E4D-C43C41FFD9D6}"/>
            </a:ext>
          </a:extLst>
        </xdr:cNvPr>
        <xdr:cNvSpPr/>
      </xdr:nvSpPr>
      <xdr:spPr>
        <a:xfrm rot="10800000">
          <a:off x="4528809" y="2763974"/>
          <a:ext cx="69850" cy="153035"/>
        </a:xfrm>
        <a:prstGeom prst="upArrow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1</xdr:row>
      <xdr:rowOff>28575</xdr:rowOff>
    </xdr:from>
    <xdr:ext cx="5112938" cy="2517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E7BB92-1215-482E-AF5E-1E670B6EFBD3}"/>
            </a:ext>
          </a:extLst>
        </xdr:cNvPr>
        <xdr:cNvSpPr txBox="1"/>
      </xdr:nvSpPr>
      <xdr:spPr>
        <a:xfrm>
          <a:off x="6743700" y="171450"/>
          <a:ext cx="5112938" cy="25173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Request: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Review legend and update "Data as of" and "Trended Period" columns</a:t>
          </a:r>
          <a:endParaRPr lang="en-US">
            <a:effectLst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on, Nathaniel" id="{23220D71-D0F3-4597-844A-2AE9027B4A1B}" userId="S::NACBA6@multihosp.net::05b7bfca-fcae-4559-bed4-a8d9a4ae86af" providerId="AD"/>
  <person displayName="Kim, Steven" id="{BFF7C1ED-CDE2-46CC-A3F2-351A7AF97D8F}" userId="S::TKI393@multihosp.net::075fc5ab-b53d-44f9-bb43-94b1bc3293c9" providerId="AD"/>
  <person displayName="Chon, Nathaniel" id="{0580F8F3-ED5E-4B08-A5B5-7FF9F2EF3E1E}" userId="S::nacba6@multihosp.net::05b7bfca-fcae-4559-bed4-a8d9a4ae86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dventHealth">
      <a:majorFont>
        <a:latin typeface="Proxima Nova"/>
        <a:ea typeface=""/>
        <a:cs typeface=""/>
      </a:majorFont>
      <a:minorFont>
        <a:latin typeface="Proxima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7-22T15:57:04.28" personId="{23220D71-D0F3-4597-844A-2AE9027B4A1B}" id="{E25E3D19-E9B6-437D-B832-283D24B748F0}">
    <text>Source as datakey</text>
  </threadedComment>
  <threadedComment ref="C11" dT="2026-07-22T15:57:13.45" personId="{23220D71-D0F3-4597-844A-2AE9027B4A1B}" id="{63BB7814-18E9-4E0F-B39F-A45BF9B9DC1E}">
    <text>Source as datakey</text>
  </threadedComment>
  <threadedComment ref="C14" dT="2026-07-21T22:09:44.97" personId="{23220D71-D0F3-4597-844A-2AE9027B4A1B}" id="{12A77905-9018-47D7-8ACB-F85C0EE489E5}">
    <text>From TMP DLC June placemat</text>
  </threadedComment>
  <threadedComment ref="C17" dT="2026-07-21T22:11:22.29" personId="{23220D71-D0F3-4597-844A-2AE9027B4A1B}" id="{28758B84-D71F-4B29-98A0-00D196B44CBF}">
    <text>Differs from 14.0 in TMP DLC June close placemat</text>
  </threadedComment>
  <threadedComment ref="C30" dT="2026-07-27T19:27:31.77" personId="{23220D71-D0F3-4597-844A-2AE9027B4A1B}" id="{555F3307-6DA6-46E1-A42F-8D068AD04FA5}">
    <text>Source of truth states $941.8M</text>
  </threadedComment>
  <threadedComment ref="C31" dT="2026-07-22T12:25:08.05" personId="{23220D71-D0F3-4597-844A-2AE9027B4A1B}" id="{7B2596C1-2AD7-4DA9-A47E-13446B5CFBAF}">
    <text>Actual value reflects June in this document versus may in datalink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" dT="2026-07-22T15:57:04.28" personId="{23220D71-D0F3-4597-844A-2AE9027B4A1B}" id="{864C76EC-AEE6-495E-B820-D869C81A1A5D}">
    <text>Source as datakey</text>
  </threadedComment>
  <threadedComment ref="C13" dT="2026-07-22T15:57:13.45" personId="{23220D71-D0F3-4597-844A-2AE9027B4A1B}" id="{D6D0CC77-631F-4C2A-9B51-239D9AB9DE9E}">
    <text>Source as datakey</text>
  </threadedComment>
  <threadedComment ref="C16" dT="2026-07-21T21:30:01.09" personId="{23220D71-D0F3-4597-844A-2AE9027B4A1B}" id="{561543D7-2B1D-4FE9-BDB2-7A0EB9F6A820}">
    <text>Validate: source EFD MOR Scorecard</text>
  </threadedComment>
  <threadedComment ref="C21" dT="2026-07-21T22:05:45.61" personId="{23220D71-D0F3-4597-844A-2AE9027B4A1B}" id="{F5F4C07D-2A27-47D8-868F-17FEA0216798}">
    <text>From datalink</text>
  </threadedComment>
  <threadedComment ref="C32" dT="2026-07-27T19:27:58.90" personId="{23220D71-D0F3-4597-844A-2AE9027B4A1B}" id="{63CA6740-2CF5-454B-8282-C758DFBF39F5}">
    <text>Source of truth states $302.4M</text>
  </threadedComment>
  <threadedComment ref="C33" dT="2026-07-22T12:25:08.05" personId="{23220D71-D0F3-4597-844A-2AE9027B4A1B}" id="{5F21E455-DC8A-4123-87F2-599FB3FD642D}">
    <text>Actual value reflects June in this document versus may in datalink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2" dT="2026-07-22T15:57:04.28" personId="{23220D71-D0F3-4597-844A-2AE9027B4A1B}" id="{E9D88EC9-F5FB-45B3-BED7-D47264EEB111}">
    <text>Source as datakey</text>
  </threadedComment>
  <threadedComment ref="C13" dT="2026-07-22T15:57:13.45" personId="{23220D71-D0F3-4597-844A-2AE9027B4A1B}" id="{4DC38E91-6466-44A2-8EA9-B3189C65A64E}">
    <text>Source as datakey</text>
  </threadedComment>
  <threadedComment ref="C21" dT="2026-07-21T22:05:45.61" personId="{23220D71-D0F3-4597-844A-2AE9027B4A1B}" id="{D7C5FD30-964F-4D2D-9773-E0AB1125852A}">
    <text>From datalink</text>
  </threadedComment>
  <threadedComment ref="D26" dT="2026-07-15T15:27:35.39" personId="{BFF7C1ED-CDE2-46CC-A3F2-351A7AF97D8F}" id="{83398759-EAAA-EB4B-B9CA-468464297317}">
    <text>PC is not included in the denominator due to acquisition 5-year run way to get to 4 or 5-star</text>
  </threadedComment>
  <threadedComment ref="D26" dT="2026-07-15T19:14:52.98" personId="{0580F8F3-ED5E-4B08-A5B5-7FF9F2EF3E1E}" id="{3F08730A-EC3C-4E50-BCF3-11CC739D5F94}" parentId="{83398759-EAAA-EB4B-B9CA-468464297317}">
    <text>Understood thank you</text>
  </threadedComment>
  <threadedComment ref="C32" dT="2026-07-22T12:26:28.48" personId="{23220D71-D0F3-4597-844A-2AE9027B4A1B}" id="{83006904-174F-4EB9-ABB2-A8F3B897FB73}">
    <text>From datalink, very different from other divisions goals</text>
  </threadedComment>
  <threadedComment ref="C33" dT="2026-07-22T12:25:08.05" personId="{23220D71-D0F3-4597-844A-2AE9027B4A1B}" id="{3013DC64-4CAF-4D4F-BA28-94D3CE7614E9}">
    <text>Actual value reflects June in this document versus may in datalink</text>
  </threadedComment>
  <threadedComment ref="O35" dT="2026-07-14T17:27:06.93" personId="{0580F8F3-ED5E-4B08-A5B5-7FF9F2EF3E1E}" id="{5E3846F9-6DD2-4201-854E-C916F5A835E3}">
    <text>Past reports have this data but it is not available in MPR Dashboard</text>
  </threadedComment>
  <threadedComment ref="Y35" dT="2026-07-14T17:27:06.93" personId="{0580F8F3-ED5E-4B08-A5B5-7FF9F2EF3E1E}" id="{61DD5346-9C13-45C9-9E07-2D97730AD1F6}">
    <text>Past reports have this data but it is not available in MPR Dashboard</text>
  </threadedComment>
  <threadedComment ref="AC35" dT="2026-07-14T17:27:06.93" personId="{0580F8F3-ED5E-4B08-A5B5-7FF9F2EF3E1E}" id="{7F353A61-6ADC-4858-8438-A1F9B18933BF}">
    <text>Past reports have this data but it is not available in MPR Dashboard</text>
  </threadedComment>
  <threadedComment ref="Q38" dT="2026-07-30T14:54:31.00" personId="{23220D71-D0F3-4597-844A-2AE9027B4A1B}" id="{D76DA467-7CC5-406D-B2D9-E9A773AC8B4B}">
    <text>Edit made from Vanessa Cepeda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1" dT="2026-07-22T15:57:04.28" personId="{23220D71-D0F3-4597-844A-2AE9027B4A1B}" id="{BFD9FB5B-2A74-46FC-B47E-A78690AB4E92}">
    <text>Source as datakey</text>
  </threadedComment>
  <threadedComment ref="C12" dT="2026-07-22T15:57:13.45" personId="{23220D71-D0F3-4597-844A-2AE9027B4A1B}" id="{FA66F7AC-2EFA-4FCF-8E50-2F4B2601CAB9}">
    <text>Source as datakey</text>
  </threadedComment>
  <threadedComment ref="C31" dT="2026-07-21T22:31:17.76" personId="{23220D71-D0F3-4597-844A-2AE9027B4A1B}" id="{4657EF0C-FA3C-4619-B3A7-15650996902E}">
    <text>EBITDA$ from Budget YTD May 2026 not goal</text>
  </threadedComment>
  <threadedComment ref="C31" dT="2026-07-27T19:29:27.55" personId="{23220D71-D0F3-4597-844A-2AE9027B4A1B}" id="{69B2CA42-847B-4DD4-835A-C500A5A3DEA5}" parentId="{4657EF0C-FA3C-4619-B3A7-15650996902E}">
    <text>Source of truth states $284.7M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1" dT="2026-07-22T15:57:04.28" personId="{23220D71-D0F3-4597-844A-2AE9027B4A1B}" id="{C4F17CEA-15E0-4632-99A7-E2F3FF956D30}">
    <text>Source as datakey</text>
  </threadedComment>
  <threadedComment ref="C12" dT="2026-07-22T15:57:13.45" personId="{23220D71-D0F3-4597-844A-2AE9027B4A1B}" id="{FE10A2D1-ACA5-430E-959C-DC7FF3B17270}">
    <text>Source as datakey</text>
  </threadedComment>
  <threadedComment ref="C31" dT="2026-07-21T22:31:17.76" personId="{23220D71-D0F3-4597-844A-2AE9027B4A1B}" id="{287E8007-0023-4BAB-BE10-B7274F626E48}">
    <text>EBITDA$ from Budget YTD May 2026 not goal</text>
  </threadedComment>
  <threadedComment ref="C31" dT="2026-07-27T19:29:27.55" personId="{23220D71-D0F3-4597-844A-2AE9027B4A1B}" id="{0B399487-3BEC-4207-8272-6364657AA176}" parentId="{287E8007-0023-4BAB-BE10-B7274F626E48}">
    <text>Source of truth states $284.7M</text>
  </threadedComment>
  <threadedComment ref="C32" dT="2026-07-22T15:41:18.77" personId="{23220D71-D0F3-4597-844A-2AE9027B4A1B}" id="{B4FC5F4A-0BDC-40F3-A736-77A338DADEE4}">
    <text>From datalink</text>
  </threadedComment>
  <threadedComment ref="Q34" dT="2026-07-15T12:53:34.32" personId="{0580F8F3-ED5E-4B08-A5B5-7FF9F2EF3E1E}" id="{21EB4B48-AA8F-4CE6-8227-11B625D2BFDE}" done="1">
    <text>Currently attributed to AHMG Great Lakes from dashboard, is this correct?</text>
  </threadedComment>
  <threadedComment ref="Y37" dT="2026-07-30T14:52:43.50" personId="{23220D71-D0F3-4597-844A-2AE9027B4A1B}" id="{73B3CFD8-C890-4A31-83F8-C9661662A13E}">
    <text>Edits made from Vanessa Cepeda</text>
  </threadedComment>
  <threadedComment ref="AA37" dT="2026-07-30T14:52:43.50" personId="{23220D71-D0F3-4597-844A-2AE9027B4A1B}" id="{812CF537-FD60-4478-8A8A-3F9D66474F74}">
    <text>Edits made from Vanessa Cepeda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58" dT="2026-07-16T16:35:11.83" personId="{23220D71-D0F3-4597-844A-2AE9027B4A1B}" id="{81033B7E-5195-4E2B-91D0-3A8A682F73B2}" done="1">
    <text>Data as of June 2026</text>
  </threadedComment>
  <threadedComment ref="E62" dT="2026-07-16T16:39:45.55" personId="{23220D71-D0F3-4597-844A-2AE9027B4A1B}" id="{695734B7-76B5-48FC-A42C-F59809D490AB}" done="1">
    <text>Data as of May 2026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F0B6-7161-4404-9422-BC04E13560AA}">
  <sheetPr>
    <pageSetUpPr fitToPage="1"/>
  </sheetPr>
  <dimension ref="B1:X40"/>
  <sheetViews>
    <sheetView showGridLines="0" showRowColHeaders="0" showRuler="0" topLeftCell="A10" zoomScale="90" zoomScaleNormal="90" zoomScaleSheetLayoutView="70" zoomScalePageLayoutView="80" workbookViewId="0">
      <selection activeCell="B20" sqref="B20"/>
    </sheetView>
  </sheetViews>
  <sheetFormatPr defaultColWidth="32.3828125" defaultRowHeight="22.5" customHeight="1" x14ac:dyDescent="0.3"/>
  <cols>
    <col min="1" max="1" width="3.3828125" customWidth="1"/>
    <col min="2" max="2" width="34.84375" customWidth="1"/>
    <col min="3" max="3" width="16.84375" bestFit="1" customWidth="1"/>
    <col min="4" max="4" width="17.61328125" style="9" customWidth="1"/>
    <col min="5" max="6" width="2.61328125" style="9" customWidth="1"/>
    <col min="7" max="7" width="17.61328125" style="9" customWidth="1"/>
    <col min="8" max="9" width="2.61328125" style="9" customWidth="1"/>
    <col min="10" max="10" width="17.61328125" style="9" customWidth="1"/>
    <col min="11" max="12" width="2.61328125" style="9" customWidth="1"/>
    <col min="13" max="13" width="17.61328125" style="9" customWidth="1"/>
    <col min="14" max="15" width="2.61328125" style="9" customWidth="1"/>
    <col min="16" max="16" width="17.61328125" style="9" customWidth="1"/>
    <col min="17" max="18" width="2.61328125" style="9" customWidth="1"/>
    <col min="19" max="19" width="8.3828125" style="9" customWidth="1"/>
    <col min="20" max="20" width="2.61328125" style="9" customWidth="1"/>
    <col min="21" max="21" width="8.15234375" style="9" customWidth="1"/>
    <col min="22" max="22" width="7.61328125" hidden="1" customWidth="1"/>
    <col min="23" max="23" width="32.3828125" bestFit="1" customWidth="1"/>
    <col min="24" max="24" width="5" hidden="1" customWidth="1"/>
    <col min="28" max="28" width="0" hidden="1" customWidth="1"/>
    <col min="34" max="37" width="0" hidden="1" customWidth="1"/>
  </cols>
  <sheetData>
    <row r="1" spans="2:22" ht="40.5" x14ac:dyDescent="0.3">
      <c r="B1" s="234" t="s">
        <v>0</v>
      </c>
      <c r="C1" s="234"/>
    </row>
    <row r="2" spans="2:22" ht="22.5" customHeight="1" x14ac:dyDescent="0.3">
      <c r="B2" s="233" t="s">
        <v>1</v>
      </c>
      <c r="C2" s="233"/>
    </row>
    <row r="3" spans="2:22" ht="22.5" customHeight="1" x14ac:dyDescent="0.3">
      <c r="B3" s="233"/>
      <c r="C3" s="233"/>
    </row>
    <row r="4" spans="2:22" ht="22.5" customHeight="1" x14ac:dyDescent="0.3">
      <c r="B4" s="53" t="s">
        <v>2</v>
      </c>
      <c r="C4" s="409" t="s">
        <v>3</v>
      </c>
      <c r="D4" s="457" t="s">
        <v>4</v>
      </c>
      <c r="E4" s="459"/>
      <c r="F4" s="460"/>
      <c r="G4" s="456" t="s">
        <v>5</v>
      </c>
      <c r="H4" s="456"/>
      <c r="I4" s="456"/>
      <c r="J4" s="456" t="s">
        <v>6</v>
      </c>
      <c r="K4" s="456"/>
      <c r="L4" s="456"/>
      <c r="M4" s="456" t="s">
        <v>7</v>
      </c>
      <c r="N4" s="456"/>
      <c r="O4" s="456"/>
      <c r="P4" s="456" t="s">
        <v>8</v>
      </c>
      <c r="Q4" s="456"/>
      <c r="R4" s="456"/>
      <c r="S4" s="456" t="s">
        <v>9</v>
      </c>
      <c r="T4" s="456"/>
      <c r="U4" s="457"/>
    </row>
    <row r="5" spans="2:22" ht="7.5" customHeight="1" x14ac:dyDescent="0.3">
      <c r="B5" s="458"/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32"/>
      <c r="R5" s="32"/>
      <c r="S5" s="32"/>
    </row>
    <row r="6" spans="2:22" ht="20.25" customHeight="1" x14ac:dyDescent="0.3">
      <c r="B6" s="131" t="s">
        <v>10</v>
      </c>
      <c r="C6" s="401"/>
      <c r="D6" s="452" t="s">
        <v>11</v>
      </c>
      <c r="E6" s="452"/>
      <c r="F6" s="452"/>
      <c r="G6" s="452"/>
      <c r="H6" s="452"/>
      <c r="I6" s="452"/>
      <c r="J6" s="452"/>
      <c r="K6" s="452"/>
      <c r="L6" s="452"/>
      <c r="M6" s="452"/>
      <c r="N6" s="452"/>
      <c r="O6" s="452"/>
      <c r="P6" s="452"/>
      <c r="Q6" s="452"/>
      <c r="R6" s="452"/>
      <c r="S6" s="452"/>
      <c r="T6" s="452"/>
      <c r="U6" s="453"/>
    </row>
    <row r="7" spans="2:22" ht="20.25" customHeight="1" x14ac:dyDescent="0.3">
      <c r="B7" s="99" t="s">
        <v>12</v>
      </c>
      <c r="C7" s="99"/>
      <c r="D7" s="259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260"/>
      <c r="U7" s="260"/>
      <c r="V7" s="16">
        <v>100</v>
      </c>
    </row>
    <row r="8" spans="2:22" ht="20.25" customHeight="1" x14ac:dyDescent="0.3">
      <c r="B8" s="99" t="s">
        <v>13</v>
      </c>
      <c r="C8" s="99"/>
      <c r="D8" s="261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260"/>
      <c r="U8" s="260"/>
      <c r="V8" s="135">
        <v>73</v>
      </c>
    </row>
    <row r="9" spans="2:22" ht="20.25" customHeight="1" x14ac:dyDescent="0.3">
      <c r="B9" s="56" t="s">
        <v>14</v>
      </c>
      <c r="C9" s="56"/>
      <c r="D9" s="444" t="s">
        <v>15</v>
      </c>
      <c r="E9" s="444"/>
      <c r="F9" s="444"/>
      <c r="G9" s="444"/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44"/>
      <c r="T9" s="444"/>
      <c r="U9" s="444"/>
      <c r="V9" s="134">
        <v>0.54</v>
      </c>
    </row>
    <row r="10" spans="2:22" ht="20.25" customHeight="1" x14ac:dyDescent="0.3">
      <c r="B10" s="13" t="s">
        <v>16</v>
      </c>
      <c r="C10" s="306" t="s">
        <v>17</v>
      </c>
      <c r="D10" s="166">
        <v>0.74099999999999999</v>
      </c>
      <c r="E10" s="337">
        <v>100</v>
      </c>
      <c r="F10" s="338"/>
      <c r="G10" s="300">
        <v>0.81599999999999995</v>
      </c>
      <c r="H10" s="339">
        <v>100</v>
      </c>
      <c r="I10" s="91"/>
      <c r="J10" s="340">
        <v>0.77</v>
      </c>
      <c r="K10" s="339">
        <v>100</v>
      </c>
      <c r="L10" s="91"/>
      <c r="M10" s="91">
        <v>0.72699999999999998</v>
      </c>
      <c r="N10" s="19">
        <v>100</v>
      </c>
      <c r="O10" s="91"/>
      <c r="P10" s="91">
        <v>0.72099999999999997</v>
      </c>
      <c r="Q10" s="341">
        <v>73</v>
      </c>
      <c r="R10" s="91"/>
      <c r="S10" s="300">
        <v>0.55700000000000005</v>
      </c>
      <c r="T10" s="23">
        <v>30</v>
      </c>
      <c r="U10" s="15"/>
      <c r="V10" s="9"/>
    </row>
    <row r="11" spans="2:22" s="85" customFormat="1" ht="24" customHeight="1" x14ac:dyDescent="0.3">
      <c r="B11" s="13" t="s">
        <v>18</v>
      </c>
      <c r="C11" s="306" t="s">
        <v>19</v>
      </c>
      <c r="D11" s="424">
        <v>85.75</v>
      </c>
      <c r="E11" s="16">
        <v>100</v>
      </c>
      <c r="F11" s="262"/>
      <c r="G11" s="317">
        <v>86.25</v>
      </c>
      <c r="H11" s="14">
        <v>100</v>
      </c>
      <c r="I11" s="25"/>
      <c r="J11" s="434">
        <v>85.25</v>
      </c>
      <c r="K11" s="14">
        <v>100</v>
      </c>
      <c r="L11" s="25"/>
      <c r="M11" s="433">
        <v>84.5</v>
      </c>
      <c r="N11" s="14">
        <v>100</v>
      </c>
      <c r="O11" s="25"/>
      <c r="P11" s="317">
        <v>84.75</v>
      </c>
      <c r="Q11" s="14">
        <v>100</v>
      </c>
      <c r="R11" s="25"/>
      <c r="S11" s="432">
        <v>86</v>
      </c>
      <c r="T11" s="14">
        <v>100</v>
      </c>
      <c r="U11" s="15"/>
      <c r="V11" s="9"/>
    </row>
    <row r="12" spans="2:22" ht="20.25" customHeight="1" x14ac:dyDescent="0.3">
      <c r="B12" s="13" t="s">
        <v>20</v>
      </c>
      <c r="C12" s="306" t="s">
        <v>21</v>
      </c>
      <c r="D12" s="165">
        <v>81</v>
      </c>
      <c r="E12" s="16">
        <v>100</v>
      </c>
      <c r="F12" s="263"/>
      <c r="G12" s="23">
        <v>83</v>
      </c>
      <c r="H12" s="14">
        <v>100</v>
      </c>
      <c r="I12" s="23"/>
      <c r="J12" s="167">
        <v>82</v>
      </c>
      <c r="K12" s="14">
        <v>100</v>
      </c>
      <c r="L12" s="23"/>
      <c r="M12" s="23">
        <v>81</v>
      </c>
      <c r="N12" s="14">
        <v>100</v>
      </c>
      <c r="O12" s="23"/>
      <c r="P12" s="23">
        <v>78</v>
      </c>
      <c r="Q12" s="19">
        <v>73</v>
      </c>
      <c r="R12" s="23"/>
      <c r="S12" s="90">
        <v>81</v>
      </c>
      <c r="T12" s="14">
        <v>100</v>
      </c>
      <c r="U12" s="15"/>
    </row>
    <row r="13" spans="2:22" ht="20.25" customHeight="1" x14ac:dyDescent="0.3">
      <c r="B13" s="59" t="s">
        <v>22</v>
      </c>
      <c r="C13" s="406"/>
      <c r="D13" s="454" t="s">
        <v>23</v>
      </c>
      <c r="E13" s="454"/>
      <c r="F13" s="454"/>
      <c r="G13" s="454"/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</row>
    <row r="14" spans="2:22" ht="14" x14ac:dyDescent="0.3">
      <c r="B14" s="13" t="s">
        <v>24</v>
      </c>
      <c r="C14" s="306" t="s">
        <v>25</v>
      </c>
      <c r="D14" s="302" t="s">
        <v>26</v>
      </c>
      <c r="E14" s="14">
        <v>100</v>
      </c>
      <c r="F14" s="263"/>
      <c r="G14" s="301" t="s">
        <v>27</v>
      </c>
      <c r="H14" s="23">
        <v>30</v>
      </c>
      <c r="I14" s="23"/>
      <c r="J14" s="302" t="s">
        <v>28</v>
      </c>
      <c r="K14" s="23">
        <v>30</v>
      </c>
      <c r="L14" s="23"/>
      <c r="M14" s="302" t="s">
        <v>29</v>
      </c>
      <c r="N14" s="14">
        <v>100</v>
      </c>
      <c r="O14" s="23"/>
      <c r="P14" s="302" t="s">
        <v>30</v>
      </c>
      <c r="Q14" s="303">
        <v>100</v>
      </c>
      <c r="R14" s="23"/>
      <c r="S14" s="23" t="s">
        <v>31</v>
      </c>
      <c r="T14" s="303">
        <v>100</v>
      </c>
      <c r="U14" s="23"/>
    </row>
    <row r="15" spans="2:22" ht="20.25" customHeight="1" x14ac:dyDescent="0.3">
      <c r="B15" s="13" t="s">
        <v>32</v>
      </c>
      <c r="C15" s="306" t="s">
        <v>33</v>
      </c>
      <c r="D15" s="165">
        <v>82</v>
      </c>
      <c r="E15" s="16">
        <v>100</v>
      </c>
      <c r="F15" s="263"/>
      <c r="G15" s="23">
        <v>83</v>
      </c>
      <c r="H15" s="14">
        <v>100</v>
      </c>
      <c r="I15" s="23"/>
      <c r="J15" s="165">
        <v>81</v>
      </c>
      <c r="K15" s="14">
        <v>100</v>
      </c>
      <c r="L15" s="23"/>
      <c r="M15" s="165">
        <v>81</v>
      </c>
      <c r="N15" s="14">
        <v>100</v>
      </c>
      <c r="O15" s="23"/>
      <c r="P15" s="165">
        <v>79</v>
      </c>
      <c r="Q15" s="19">
        <v>73</v>
      </c>
      <c r="R15" s="23"/>
      <c r="S15" s="23">
        <v>81</v>
      </c>
      <c r="T15" s="14">
        <v>100</v>
      </c>
      <c r="U15" s="23"/>
    </row>
    <row r="16" spans="2:22" ht="20.25" customHeight="1" x14ac:dyDescent="0.3">
      <c r="B16" s="13" t="s">
        <v>34</v>
      </c>
      <c r="C16" s="306" t="s">
        <v>35</v>
      </c>
      <c r="D16" s="165" t="s">
        <v>36</v>
      </c>
      <c r="E16" s="313">
        <v>73</v>
      </c>
      <c r="F16" s="263"/>
      <c r="G16" s="23" t="s">
        <v>37</v>
      </c>
      <c r="H16" s="313">
        <v>73</v>
      </c>
      <c r="I16" s="23"/>
      <c r="J16" s="165" t="s">
        <v>38</v>
      </c>
      <c r="K16" s="313">
        <v>73</v>
      </c>
      <c r="L16" s="23"/>
      <c r="M16" s="165" t="s">
        <v>39</v>
      </c>
      <c r="N16" s="313">
        <v>73</v>
      </c>
      <c r="O16" s="23"/>
      <c r="P16" s="165" t="s">
        <v>40</v>
      </c>
      <c r="Q16" s="313">
        <v>73</v>
      </c>
      <c r="R16" s="23"/>
      <c r="S16" s="23" t="s">
        <v>41</v>
      </c>
      <c r="T16" s="23"/>
      <c r="U16" s="23"/>
    </row>
    <row r="17" spans="2:24" ht="18.75" customHeight="1" x14ac:dyDescent="0.3">
      <c r="B17" s="13" t="s">
        <v>42</v>
      </c>
      <c r="C17" s="306" t="s">
        <v>43</v>
      </c>
      <c r="D17" s="168">
        <v>0.16900000000000001</v>
      </c>
      <c r="E17" s="16">
        <v>100</v>
      </c>
      <c r="F17" s="299"/>
      <c r="G17" s="27">
        <v>0.13500000000000001</v>
      </c>
      <c r="H17" s="14">
        <v>100</v>
      </c>
      <c r="I17" s="298"/>
      <c r="J17" s="168">
        <v>0.16800000000000001</v>
      </c>
      <c r="K17" s="23">
        <v>30</v>
      </c>
      <c r="L17" s="298"/>
      <c r="M17" s="168">
        <v>0.20200000000000001</v>
      </c>
      <c r="N17" s="23">
        <v>30</v>
      </c>
      <c r="O17" s="298"/>
      <c r="P17" s="168">
        <v>0.20899999999999999</v>
      </c>
      <c r="Q17" s="23">
        <v>30</v>
      </c>
      <c r="R17" s="298"/>
      <c r="S17" s="27">
        <v>0.23200000000000001</v>
      </c>
      <c r="T17" s="23">
        <v>30</v>
      </c>
      <c r="U17" s="298"/>
    </row>
    <row r="18" spans="2:24" ht="20.25" customHeight="1" x14ac:dyDescent="0.3">
      <c r="B18" s="62" t="s">
        <v>44</v>
      </c>
      <c r="C18" s="349"/>
      <c r="D18" s="455" t="s">
        <v>45</v>
      </c>
      <c r="E18" s="455"/>
      <c r="F18" s="455"/>
      <c r="G18" s="455"/>
      <c r="H18" s="455"/>
      <c r="I18" s="455"/>
      <c r="J18" s="455"/>
      <c r="K18" s="455"/>
      <c r="L18" s="455"/>
      <c r="M18" s="455"/>
      <c r="N18" s="455"/>
      <c r="O18" s="455"/>
      <c r="P18" s="455"/>
      <c r="Q18" s="455"/>
      <c r="R18" s="455"/>
      <c r="S18" s="455"/>
      <c r="T18" s="455"/>
      <c r="U18" s="455"/>
      <c r="V18" s="441"/>
      <c r="W18" s="441"/>
    </row>
    <row r="19" spans="2:24" ht="20.25" customHeight="1" x14ac:dyDescent="0.3">
      <c r="B19" s="72" t="s">
        <v>46</v>
      </c>
      <c r="C19" s="306" t="s">
        <v>47</v>
      </c>
      <c r="D19" s="23" t="s">
        <v>48</v>
      </c>
      <c r="E19" s="19">
        <v>73</v>
      </c>
      <c r="G19" s="17" t="s">
        <v>49</v>
      </c>
      <c r="H19" s="313">
        <v>73</v>
      </c>
      <c r="I19" s="19"/>
      <c r="J19" s="23" t="s">
        <v>50</v>
      </c>
      <c r="K19" s="313">
        <v>73</v>
      </c>
      <c r="L19" s="18"/>
      <c r="M19" s="23" t="s">
        <v>51</v>
      </c>
      <c r="N19" s="313">
        <v>73</v>
      </c>
      <c r="O19" s="18"/>
      <c r="P19" s="23" t="s">
        <v>52</v>
      </c>
      <c r="Q19" s="313">
        <v>73</v>
      </c>
      <c r="R19" s="18"/>
      <c r="S19" s="17" t="s">
        <v>53</v>
      </c>
      <c r="T19" s="23">
        <v>30</v>
      </c>
      <c r="U19" s="19"/>
    </row>
    <row r="20" spans="2:24" ht="20.25" customHeight="1" x14ac:dyDescent="0.3">
      <c r="B20" s="72" t="s">
        <v>54</v>
      </c>
      <c r="C20" s="306" t="s">
        <v>35</v>
      </c>
      <c r="D20" s="23">
        <v>63</v>
      </c>
      <c r="E20" s="23">
        <v>30</v>
      </c>
      <c r="F20" s="136"/>
      <c r="G20" s="133">
        <v>71</v>
      </c>
      <c r="H20" s="19">
        <v>73</v>
      </c>
      <c r="I20" s="137"/>
      <c r="J20" s="306">
        <v>54</v>
      </c>
      <c r="K20" s="23">
        <v>30</v>
      </c>
      <c r="L20" s="136"/>
      <c r="M20" s="23">
        <v>52</v>
      </c>
      <c r="N20" s="23">
        <v>30</v>
      </c>
      <c r="O20" s="138"/>
      <c r="P20" s="23">
        <v>73</v>
      </c>
      <c r="Q20" s="19">
        <v>73</v>
      </c>
      <c r="R20" s="18"/>
      <c r="S20" s="20"/>
      <c r="T20" s="19"/>
      <c r="U20" s="22"/>
    </row>
    <row r="21" spans="2:24" ht="20.25" customHeight="1" x14ac:dyDescent="0.3">
      <c r="B21" s="72" t="s">
        <v>55</v>
      </c>
      <c r="C21" s="306" t="s">
        <v>35</v>
      </c>
      <c r="D21" s="23">
        <v>68</v>
      </c>
      <c r="E21" s="19">
        <v>73</v>
      </c>
      <c r="F21" s="136"/>
      <c r="G21" s="133">
        <v>80</v>
      </c>
      <c r="H21" s="14">
        <v>100</v>
      </c>
      <c r="I21" s="137"/>
      <c r="J21" s="23">
        <v>56</v>
      </c>
      <c r="K21" s="23">
        <v>30</v>
      </c>
      <c r="L21" s="136"/>
      <c r="M21" s="23">
        <v>72</v>
      </c>
      <c r="N21" s="19">
        <v>73</v>
      </c>
      <c r="O21" s="138"/>
      <c r="P21" s="23">
        <v>62</v>
      </c>
      <c r="Q21" s="306">
        <v>30</v>
      </c>
      <c r="R21" s="18"/>
      <c r="S21" s="133"/>
      <c r="T21" s="19"/>
      <c r="U21" s="19"/>
    </row>
    <row r="22" spans="2:24" ht="24" customHeight="1" x14ac:dyDescent="0.3">
      <c r="B22" s="13" t="s">
        <v>56</v>
      </c>
      <c r="C22" s="306" t="s">
        <v>35</v>
      </c>
      <c r="D22" s="23">
        <v>72</v>
      </c>
      <c r="E22" s="19">
        <v>73</v>
      </c>
      <c r="F22" s="83"/>
      <c r="G22" s="133">
        <v>68</v>
      </c>
      <c r="H22" s="19">
        <v>73</v>
      </c>
      <c r="I22" s="84"/>
      <c r="J22" s="23">
        <v>75</v>
      </c>
      <c r="K22" s="303">
        <v>100</v>
      </c>
      <c r="L22" s="83"/>
      <c r="M22" s="23">
        <v>66</v>
      </c>
      <c r="N22" s="313">
        <v>73</v>
      </c>
      <c r="O22" s="112"/>
      <c r="P22" s="23">
        <v>74</v>
      </c>
      <c r="Q22" s="19">
        <v>73</v>
      </c>
      <c r="R22" s="18"/>
      <c r="S22" s="133">
        <v>70</v>
      </c>
      <c r="T22" s="19">
        <v>73</v>
      </c>
      <c r="U22" s="19"/>
      <c r="X22" s="18"/>
    </row>
    <row r="23" spans="2:24" ht="20.25" customHeight="1" x14ac:dyDescent="0.3">
      <c r="B23" s="68" t="s">
        <v>57</v>
      </c>
      <c r="C23" s="405"/>
      <c r="D23" s="449" t="s">
        <v>58</v>
      </c>
      <c r="E23" s="449"/>
      <c r="F23" s="449"/>
      <c r="G23" s="449"/>
      <c r="H23" s="449"/>
      <c r="I23" s="449"/>
      <c r="J23" s="449"/>
      <c r="K23" s="449"/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X23" s="18"/>
    </row>
    <row r="24" spans="2:24" ht="20.25" customHeight="1" x14ac:dyDescent="0.3">
      <c r="B24" s="13" t="s">
        <v>59</v>
      </c>
      <c r="C24" s="408" t="s">
        <v>60</v>
      </c>
      <c r="D24" s="166">
        <v>0.54</v>
      </c>
      <c r="E24" s="306">
        <v>30</v>
      </c>
      <c r="F24" s="263"/>
      <c r="G24" s="91">
        <v>0</v>
      </c>
      <c r="H24" s="23">
        <v>30</v>
      </c>
      <c r="I24" s="91"/>
      <c r="J24" s="166">
        <v>1</v>
      </c>
      <c r="K24" s="14">
        <v>100</v>
      </c>
      <c r="L24" s="91"/>
      <c r="M24" s="166">
        <v>0.4</v>
      </c>
      <c r="N24" s="23">
        <v>30</v>
      </c>
      <c r="O24" s="91"/>
      <c r="P24" s="166">
        <v>0.64</v>
      </c>
      <c r="Q24" s="23">
        <v>30</v>
      </c>
      <c r="R24" s="257"/>
      <c r="S24" s="24" t="s">
        <v>41</v>
      </c>
      <c r="T24" s="257"/>
      <c r="U24" s="257"/>
      <c r="X24" s="18"/>
    </row>
    <row r="25" spans="2:24" ht="20.25" customHeight="1" x14ac:dyDescent="0.3">
      <c r="B25" s="13" t="s">
        <v>61</v>
      </c>
      <c r="C25" s="408" t="s">
        <v>62</v>
      </c>
      <c r="D25" s="166">
        <v>0.67</v>
      </c>
      <c r="E25" s="306">
        <v>30</v>
      </c>
      <c r="F25" s="263"/>
      <c r="G25" s="91">
        <v>0.88</v>
      </c>
      <c r="H25" s="19">
        <v>73</v>
      </c>
      <c r="I25" s="91"/>
      <c r="J25" s="166">
        <v>0.75</v>
      </c>
      <c r="K25" s="19">
        <v>73</v>
      </c>
      <c r="L25" s="91"/>
      <c r="M25" s="166">
        <v>0.6</v>
      </c>
      <c r="N25" s="23">
        <v>30</v>
      </c>
      <c r="O25" s="91"/>
      <c r="P25" s="166">
        <v>0.57999999999999996</v>
      </c>
      <c r="Q25" s="23">
        <v>30</v>
      </c>
      <c r="R25" s="257"/>
      <c r="S25" s="24" t="s">
        <v>41</v>
      </c>
      <c r="T25" s="257"/>
      <c r="U25" s="257"/>
      <c r="X25" s="19"/>
    </row>
    <row r="26" spans="2:24" ht="20.25" customHeight="1" x14ac:dyDescent="0.3">
      <c r="B26" s="13" t="s">
        <v>63</v>
      </c>
      <c r="C26" s="306" t="s">
        <v>64</v>
      </c>
      <c r="D26" s="166">
        <v>0.93</v>
      </c>
      <c r="E26" s="19">
        <v>73</v>
      </c>
      <c r="F26" s="263"/>
      <c r="G26" s="300">
        <v>1</v>
      </c>
      <c r="H26" s="322">
        <v>100</v>
      </c>
      <c r="I26" s="300"/>
      <c r="J26" s="166">
        <v>1</v>
      </c>
      <c r="K26" s="322">
        <v>100</v>
      </c>
      <c r="L26" s="300"/>
      <c r="M26" s="166">
        <v>1</v>
      </c>
      <c r="N26" s="322">
        <v>100</v>
      </c>
      <c r="O26" s="300"/>
      <c r="P26" s="166">
        <v>0.83</v>
      </c>
      <c r="Q26" s="19">
        <v>73</v>
      </c>
      <c r="R26" s="305"/>
      <c r="S26" s="304" t="s">
        <v>41</v>
      </c>
      <c r="T26" s="305"/>
      <c r="U26" s="15"/>
      <c r="X26" s="19"/>
    </row>
    <row r="27" spans="2:24" ht="25" x14ac:dyDescent="0.3">
      <c r="B27" s="13" t="s">
        <v>65</v>
      </c>
      <c r="C27" s="306" t="s">
        <v>66</v>
      </c>
      <c r="D27" s="166">
        <v>0.55000000000000004</v>
      </c>
      <c r="E27" s="306">
        <v>30</v>
      </c>
      <c r="F27" s="263"/>
      <c r="G27" s="91">
        <v>1</v>
      </c>
      <c r="H27" s="322">
        <v>100</v>
      </c>
      <c r="I27" s="91"/>
      <c r="J27" s="166">
        <v>0.63</v>
      </c>
      <c r="K27" s="23">
        <v>30</v>
      </c>
      <c r="L27" s="91"/>
      <c r="M27" s="166">
        <v>0.5</v>
      </c>
      <c r="N27" s="23">
        <v>30</v>
      </c>
      <c r="O27" s="91"/>
      <c r="P27" s="166">
        <v>0.39</v>
      </c>
      <c r="Q27" s="306">
        <v>30</v>
      </c>
      <c r="R27" s="257"/>
      <c r="S27" s="24" t="s">
        <v>41</v>
      </c>
      <c r="T27" s="257"/>
      <c r="U27" s="257"/>
      <c r="X27" s="19"/>
    </row>
    <row r="28" spans="2:24" ht="25" x14ac:dyDescent="0.3">
      <c r="B28" s="13" t="s">
        <v>67</v>
      </c>
      <c r="C28" s="306" t="s">
        <v>66</v>
      </c>
      <c r="D28" s="166">
        <v>0.83</v>
      </c>
      <c r="E28" s="313">
        <v>73</v>
      </c>
      <c r="F28" s="263"/>
      <c r="G28" s="91">
        <v>0.89</v>
      </c>
      <c r="H28" s="19">
        <v>73</v>
      </c>
      <c r="I28" s="91"/>
      <c r="J28" s="166">
        <v>1</v>
      </c>
      <c r="K28" s="14">
        <v>100</v>
      </c>
      <c r="L28" s="91"/>
      <c r="M28" s="166">
        <v>0.46</v>
      </c>
      <c r="N28" s="23">
        <v>30</v>
      </c>
      <c r="O28" s="91"/>
      <c r="P28" s="166">
        <v>0.96</v>
      </c>
      <c r="Q28" s="313">
        <v>73</v>
      </c>
      <c r="R28" s="257"/>
      <c r="S28" s="24" t="s">
        <v>41</v>
      </c>
      <c r="T28" s="257"/>
      <c r="U28" s="257"/>
      <c r="X28" s="19"/>
    </row>
    <row r="29" spans="2:24" ht="20.25" customHeight="1" x14ac:dyDescent="0.3">
      <c r="B29" s="71" t="s">
        <v>68</v>
      </c>
      <c r="C29" s="404"/>
      <c r="D29" s="450" t="s">
        <v>69</v>
      </c>
      <c r="E29" s="450"/>
      <c r="F29" s="450"/>
      <c r="G29" s="450"/>
      <c r="H29" s="450"/>
      <c r="I29" s="450"/>
      <c r="J29" s="450"/>
      <c r="K29" s="450"/>
      <c r="L29" s="450"/>
      <c r="M29" s="450"/>
      <c r="N29" s="450"/>
      <c r="O29" s="450"/>
      <c r="P29" s="450"/>
      <c r="Q29" s="450"/>
      <c r="R29" s="450"/>
      <c r="S29" s="450"/>
      <c r="T29" s="450"/>
      <c r="U29" s="450"/>
    </row>
    <row r="30" spans="2:24" ht="20.25" customHeight="1" x14ac:dyDescent="0.3">
      <c r="B30" s="13" t="s">
        <v>70</v>
      </c>
      <c r="C30" s="306" t="s">
        <v>71</v>
      </c>
      <c r="D30" s="165" t="s">
        <v>72</v>
      </c>
      <c r="E30" s="16">
        <v>100</v>
      </c>
      <c r="F30" s="16"/>
      <c r="G30" s="322" t="s">
        <v>73</v>
      </c>
      <c r="H30" s="303">
        <v>100</v>
      </c>
      <c r="I30" s="322"/>
      <c r="J30" s="165" t="s">
        <v>74</v>
      </c>
      <c r="K30" s="14">
        <v>100</v>
      </c>
      <c r="L30" s="16"/>
      <c r="M30" s="325" t="s">
        <v>75</v>
      </c>
      <c r="N30" s="14">
        <v>100</v>
      </c>
      <c r="O30" s="16"/>
      <c r="P30" s="165" t="s">
        <v>76</v>
      </c>
      <c r="Q30" s="23">
        <v>30</v>
      </c>
      <c r="R30" s="16"/>
      <c r="S30" s="16" t="s">
        <v>77</v>
      </c>
      <c r="T30" s="14">
        <v>100</v>
      </c>
      <c r="U30" s="16"/>
    </row>
    <row r="31" spans="2:24" ht="20.25" customHeight="1" x14ac:dyDescent="0.3">
      <c r="B31" s="13" t="s">
        <v>78</v>
      </c>
      <c r="C31" s="306"/>
      <c r="D31" s="169">
        <v>0.13</v>
      </c>
      <c r="E31" s="322">
        <v>100</v>
      </c>
      <c r="F31" s="264"/>
      <c r="G31" s="323">
        <v>0.129</v>
      </c>
      <c r="H31" s="303">
        <v>100</v>
      </c>
      <c r="I31" s="324"/>
      <c r="J31" s="169">
        <v>8.3000000000000004E-2</v>
      </c>
      <c r="K31" s="303">
        <v>100</v>
      </c>
      <c r="L31" s="31"/>
      <c r="M31" s="169">
        <v>0.16300000000000001</v>
      </c>
      <c r="N31" s="303">
        <v>100</v>
      </c>
      <c r="O31" s="31"/>
      <c r="P31" s="169">
        <v>0.154</v>
      </c>
      <c r="Q31" s="303">
        <v>100</v>
      </c>
      <c r="R31" s="31"/>
      <c r="S31" s="307" t="s">
        <v>79</v>
      </c>
      <c r="T31" s="306">
        <v>30</v>
      </c>
      <c r="U31" s="258"/>
    </row>
    <row r="32" spans="2:24" ht="20.25" customHeight="1" x14ac:dyDescent="0.3">
      <c r="B32" s="64" t="s">
        <v>80</v>
      </c>
      <c r="C32" s="403"/>
      <c r="D32" s="451" t="s">
        <v>81</v>
      </c>
      <c r="E32" s="45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</row>
    <row r="33" spans="2:21" ht="20.25" customHeight="1" x14ac:dyDescent="0.3">
      <c r="B33" s="13" t="s">
        <v>82</v>
      </c>
      <c r="C33" s="306" t="s">
        <v>83</v>
      </c>
      <c r="D33" s="402">
        <v>0.755</v>
      </c>
      <c r="E33" s="134">
        <v>0.54</v>
      </c>
      <c r="F33" s="16"/>
      <c r="G33" s="26">
        <v>0.84299999999999997</v>
      </c>
      <c r="H33" s="14">
        <v>100</v>
      </c>
      <c r="I33" s="26"/>
      <c r="J33" s="26">
        <v>0.82799999999999996</v>
      </c>
      <c r="K33" s="14">
        <v>100</v>
      </c>
      <c r="L33" s="26"/>
      <c r="M33" s="20">
        <v>0.81599999999999995</v>
      </c>
      <c r="N33" s="14">
        <v>100</v>
      </c>
      <c r="O33" s="26"/>
      <c r="P33" s="26">
        <v>0.56899999999999995</v>
      </c>
      <c r="Q33" s="23">
        <v>30</v>
      </c>
      <c r="R33" s="26"/>
      <c r="S33" s="26">
        <v>0.70899999999999996</v>
      </c>
      <c r="T33" s="23">
        <v>30</v>
      </c>
      <c r="U33" s="28"/>
    </row>
    <row r="34" spans="2:21" ht="22.5" customHeight="1" x14ac:dyDescent="0.3">
      <c r="B34" s="292" t="s">
        <v>84</v>
      </c>
      <c r="C34" s="363"/>
      <c r="D34" s="293">
        <f>8/19</f>
        <v>0.42105263157894735</v>
      </c>
      <c r="E34" s="294"/>
      <c r="F34" s="291"/>
      <c r="G34" s="387">
        <v>0.57894736842105299</v>
      </c>
      <c r="H34" s="291"/>
      <c r="I34" s="291"/>
      <c r="J34" s="387">
        <f>11/19</f>
        <v>0.57894736842105265</v>
      </c>
      <c r="K34" s="362"/>
      <c r="L34" s="362"/>
      <c r="M34" s="364">
        <v>0.47368421052631576</v>
      </c>
      <c r="N34" s="362"/>
      <c r="O34" s="362"/>
      <c r="P34" s="364">
        <v>0.15789473684210525</v>
      </c>
      <c r="Q34" s="362"/>
      <c r="R34" s="362"/>
      <c r="S34" s="387">
        <f>5/11</f>
        <v>0.45454545454545453</v>
      </c>
      <c r="T34" s="362"/>
      <c r="U34" s="362"/>
    </row>
    <row r="35" spans="2:21" ht="22.5" customHeight="1" x14ac:dyDescent="0.3">
      <c r="D35" s="265"/>
    </row>
    <row r="36" spans="2:21" ht="22.5" customHeight="1" x14ac:dyDescent="0.3">
      <c r="B36" s="235"/>
      <c r="C36" s="235"/>
    </row>
    <row r="37" spans="2:21" ht="22.5" customHeight="1" x14ac:dyDescent="0.3">
      <c r="B37" s="235"/>
      <c r="C37" s="235"/>
    </row>
    <row r="38" spans="2:21" ht="22.5" customHeight="1" x14ac:dyDescent="0.3">
      <c r="B38" s="235"/>
      <c r="C38" s="235"/>
    </row>
    <row r="39" spans="2:21" ht="43.5" customHeight="1" x14ac:dyDescent="0.3"/>
    <row r="40" spans="2:21" ht="22.5" customHeight="1" x14ac:dyDescent="0.3">
      <c r="B40" s="235"/>
      <c r="C40" s="235"/>
    </row>
  </sheetData>
  <mergeCells count="15">
    <mergeCell ref="S4:U4"/>
    <mergeCell ref="B5:P5"/>
    <mergeCell ref="D4:F4"/>
    <mergeCell ref="G4:I4"/>
    <mergeCell ref="J4:L4"/>
    <mergeCell ref="M4:O4"/>
    <mergeCell ref="P4:R4"/>
    <mergeCell ref="V18:W18"/>
    <mergeCell ref="D23:U23"/>
    <mergeCell ref="D29:U29"/>
    <mergeCell ref="D32:U32"/>
    <mergeCell ref="D6:U6"/>
    <mergeCell ref="D13:U13"/>
    <mergeCell ref="D18:U18"/>
    <mergeCell ref="D9:U9"/>
  </mergeCells>
  <conditionalFormatting sqref="E10">
    <cfRule type="iconSet" priority="99">
      <iconSet showValue="0">
        <cfvo type="percent" val="0"/>
        <cfvo type="num" val="50"/>
        <cfvo type="num" val="100"/>
      </iconSet>
    </cfRule>
  </conditionalFormatting>
  <conditionalFormatting sqref="E11">
    <cfRule type="iconSet" priority="98">
      <iconSet showValue="0">
        <cfvo type="percent" val="0"/>
        <cfvo type="num" val="50"/>
        <cfvo type="num" val="100"/>
      </iconSet>
    </cfRule>
  </conditionalFormatting>
  <conditionalFormatting sqref="E12">
    <cfRule type="iconSet" priority="97">
      <iconSet showValue="0">
        <cfvo type="percent" val="0"/>
        <cfvo type="num" val="50"/>
        <cfvo type="num" val="100"/>
      </iconSet>
    </cfRule>
  </conditionalFormatting>
  <conditionalFormatting sqref="E14">
    <cfRule type="iconSet" priority="69">
      <iconSet showValue="0">
        <cfvo type="percent" val="0"/>
        <cfvo type="num" val="69"/>
        <cfvo type="num" val="78"/>
      </iconSet>
    </cfRule>
    <cfRule type="iconSet" priority="70">
      <iconSet showValue="0">
        <cfvo type="percent" val="0"/>
        <cfvo type="num" val="69"/>
        <cfvo type="num" val="78"/>
      </iconSet>
    </cfRule>
  </conditionalFormatting>
  <conditionalFormatting sqref="E15">
    <cfRule type="iconSet" priority="96">
      <iconSet showValue="0">
        <cfvo type="percent" val="0"/>
        <cfvo type="num" val="50"/>
        <cfvo type="num" val="100"/>
      </iconSet>
    </cfRule>
  </conditionalFormatting>
  <conditionalFormatting sqref="E16">
    <cfRule type="iconSet" priority="36">
      <iconSet showValue="0">
        <cfvo type="percent" val="0"/>
        <cfvo type="num" val="70"/>
        <cfvo type="num" val="75"/>
      </iconSet>
    </cfRule>
  </conditionalFormatting>
  <conditionalFormatting sqref="E17">
    <cfRule type="iconSet" priority="95">
      <iconSet showValue="0">
        <cfvo type="percent" val="0"/>
        <cfvo type="num" val="50"/>
        <cfvo type="num" val="100"/>
      </iconSet>
    </cfRule>
  </conditionalFormatting>
  <conditionalFormatting sqref="E19">
    <cfRule type="iconSet" priority="116">
      <iconSet showValue="0">
        <cfvo type="percent" val="0"/>
        <cfvo type="num" val="70"/>
        <cfvo type="num" val="75"/>
      </iconSet>
    </cfRule>
  </conditionalFormatting>
  <conditionalFormatting sqref="E20">
    <cfRule type="iconSet" priority="115">
      <iconSet showValue="0">
        <cfvo type="percent" val="0"/>
        <cfvo type="num" val="50"/>
        <cfvo type="num" val="50"/>
      </iconSet>
    </cfRule>
  </conditionalFormatting>
  <conditionalFormatting sqref="E21">
    <cfRule type="iconSet" priority="114">
      <iconSet showValue="0">
        <cfvo type="percent" val="0"/>
        <cfvo type="num" val="70"/>
        <cfvo type="num" val="75"/>
      </iconSet>
    </cfRule>
  </conditionalFormatting>
  <conditionalFormatting sqref="E22">
    <cfRule type="iconSet" priority="113">
      <iconSet showValue="0">
        <cfvo type="percent" val="0"/>
        <cfvo type="num" val="70"/>
        <cfvo type="num" val="75"/>
      </iconSet>
    </cfRule>
  </conditionalFormatting>
  <conditionalFormatting sqref="E24">
    <cfRule type="iconSet" priority="48">
      <iconSet showValue="0">
        <cfvo type="percent" val="0"/>
        <cfvo type="num" val="50"/>
        <cfvo type="num" val="50"/>
      </iconSet>
    </cfRule>
  </conditionalFormatting>
  <conditionalFormatting sqref="E25">
    <cfRule type="iconSet" priority="47">
      <iconSet showValue="0">
        <cfvo type="percent" val="0"/>
        <cfvo type="num" val="50"/>
        <cfvo type="num" val="50"/>
      </iconSet>
    </cfRule>
  </conditionalFormatting>
  <conditionalFormatting sqref="E26">
    <cfRule type="iconSet" priority="109">
      <iconSet showValue="0">
        <cfvo type="percent" val="0"/>
        <cfvo type="num" val="70"/>
        <cfvo type="num" val="75"/>
      </iconSet>
    </cfRule>
  </conditionalFormatting>
  <conditionalFormatting sqref="E27">
    <cfRule type="iconSet" priority="1957">
      <iconSet showValue="0">
        <cfvo type="percent" val="0"/>
        <cfvo type="num" val="50"/>
        <cfvo type="num" val="50"/>
      </iconSet>
    </cfRule>
  </conditionalFormatting>
  <conditionalFormatting sqref="E28">
    <cfRule type="iconSet" priority="49">
      <iconSet showValue="0">
        <cfvo type="percent" val="0"/>
        <cfvo type="num" val="70"/>
        <cfvo type="num" val="75"/>
      </iconSet>
    </cfRule>
  </conditionalFormatting>
  <conditionalFormatting sqref="E30:E31">
    <cfRule type="iconSet" priority="94">
      <iconSet showValue="0">
        <cfvo type="percent" val="0"/>
        <cfvo type="num" val="50"/>
        <cfvo type="num" val="100"/>
      </iconSet>
    </cfRule>
  </conditionalFormatting>
  <conditionalFormatting sqref="E33:E34">
    <cfRule type="iconSet" priority="92">
      <iconSet showValue="0">
        <cfvo type="percent" val="0"/>
        <cfvo type="num" val="80"/>
        <cfvo type="num" val="85"/>
      </iconSet>
    </cfRule>
  </conditionalFormatting>
  <conditionalFormatting sqref="H10">
    <cfRule type="iconSet" priority="241">
      <iconSet showValue="0">
        <cfvo type="percent" val="0"/>
        <cfvo type="num" val="69"/>
        <cfvo type="num" val="78"/>
      </iconSet>
    </cfRule>
    <cfRule type="iconSet" priority="240">
      <iconSet showValue="0">
        <cfvo type="percent" val="0"/>
        <cfvo type="num" val="69"/>
        <cfvo type="num" val="78"/>
      </iconSet>
    </cfRule>
  </conditionalFormatting>
  <conditionalFormatting sqref="H11">
    <cfRule type="iconSet" priority="239">
      <iconSet showValue="0">
        <cfvo type="percent" val="0"/>
        <cfvo type="num" val="69"/>
        <cfvo type="num" val="78"/>
      </iconSet>
    </cfRule>
    <cfRule type="iconSet" priority="238">
      <iconSet showValue="0">
        <cfvo type="percent" val="0"/>
        <cfvo type="num" val="69"/>
        <cfvo type="num" val="78"/>
      </iconSet>
    </cfRule>
  </conditionalFormatting>
  <conditionalFormatting sqref="H12">
    <cfRule type="iconSet" priority="237">
      <iconSet showValue="0">
        <cfvo type="percent" val="0"/>
        <cfvo type="num" val="69"/>
        <cfvo type="num" val="78"/>
      </iconSet>
    </cfRule>
    <cfRule type="iconSet" priority="236">
      <iconSet showValue="0">
        <cfvo type="percent" val="0"/>
        <cfvo type="num" val="69"/>
        <cfvo type="num" val="78"/>
      </iconSet>
    </cfRule>
  </conditionalFormatting>
  <conditionalFormatting sqref="H14">
    <cfRule type="iconSet" priority="218">
      <iconSet showValue="0">
        <cfvo type="percent" val="0"/>
        <cfvo type="num" val="50"/>
        <cfvo type="num" val="50"/>
      </iconSet>
    </cfRule>
  </conditionalFormatting>
  <conditionalFormatting sqref="H15">
    <cfRule type="iconSet" priority="235">
      <iconSet showValue="0">
        <cfvo type="percent" val="0"/>
        <cfvo type="num" val="69"/>
        <cfvo type="num" val="78"/>
      </iconSet>
    </cfRule>
    <cfRule type="iconSet" priority="234">
      <iconSet showValue="0">
        <cfvo type="percent" val="0"/>
        <cfvo type="num" val="69"/>
        <cfvo type="num" val="78"/>
      </iconSet>
    </cfRule>
  </conditionalFormatting>
  <conditionalFormatting sqref="H16">
    <cfRule type="iconSet" priority="35">
      <iconSet showValue="0">
        <cfvo type="percent" val="0"/>
        <cfvo type="num" val="70"/>
        <cfvo type="num" val="75"/>
      </iconSet>
    </cfRule>
  </conditionalFormatting>
  <conditionalFormatting sqref="H17">
    <cfRule type="iconSet" priority="233">
      <iconSet showValue="0">
        <cfvo type="percent" val="0"/>
        <cfvo type="num" val="69"/>
        <cfvo type="num" val="78"/>
      </iconSet>
    </cfRule>
    <cfRule type="iconSet" priority="232">
      <iconSet showValue="0">
        <cfvo type="percent" val="0"/>
        <cfvo type="num" val="69"/>
        <cfvo type="num" val="78"/>
      </iconSet>
    </cfRule>
  </conditionalFormatting>
  <conditionalFormatting sqref="H19:H20">
    <cfRule type="iconSet" priority="222">
      <iconSet showValue="0">
        <cfvo type="percent" val="0"/>
        <cfvo type="num" val="70"/>
        <cfvo type="num" val="75"/>
      </iconSet>
    </cfRule>
  </conditionalFormatting>
  <conditionalFormatting sqref="H21">
    <cfRule type="iconSet" priority="230">
      <iconSet showValue="0">
        <cfvo type="percent" val="0"/>
        <cfvo type="num" val="69"/>
        <cfvo type="num" val="78"/>
      </iconSet>
    </cfRule>
    <cfRule type="iconSet" priority="231">
      <iconSet showValue="0">
        <cfvo type="percent" val="0"/>
        <cfvo type="num" val="69"/>
        <cfvo type="num" val="78"/>
      </iconSet>
    </cfRule>
  </conditionalFormatting>
  <conditionalFormatting sqref="H22">
    <cfRule type="iconSet" priority="221">
      <iconSet showValue="0">
        <cfvo type="percent" val="0"/>
        <cfvo type="num" val="70"/>
        <cfvo type="num" val="75"/>
      </iconSet>
    </cfRule>
  </conditionalFormatting>
  <conditionalFormatting sqref="H24">
    <cfRule type="iconSet" priority="104">
      <iconSet showValue="0">
        <cfvo type="percent" val="0"/>
        <cfvo type="num" val="50"/>
        <cfvo type="num" val="50"/>
      </iconSet>
    </cfRule>
  </conditionalFormatting>
  <conditionalFormatting sqref="H25">
    <cfRule type="iconSet" priority="220">
      <iconSet showValue="0">
        <cfvo type="percent" val="0"/>
        <cfvo type="num" val="70"/>
        <cfvo type="num" val="75"/>
      </iconSet>
    </cfRule>
  </conditionalFormatting>
  <conditionalFormatting sqref="H26:H27">
    <cfRule type="iconSet" priority="46">
      <iconSet showValue="0">
        <cfvo type="percent" val="0"/>
        <cfvo type="num" val="50"/>
        <cfvo type="num" val="100"/>
      </iconSet>
    </cfRule>
  </conditionalFormatting>
  <conditionalFormatting sqref="H28">
    <cfRule type="iconSet" priority="61">
      <iconSet showValue="0">
        <cfvo type="percent" val="0"/>
        <cfvo type="num" val="70"/>
        <cfvo type="num" val="75"/>
      </iconSet>
    </cfRule>
  </conditionalFormatting>
  <conditionalFormatting sqref="H30:H31">
    <cfRule type="iconSet" priority="56">
      <iconSet showValue="0">
        <cfvo type="percent" val="0"/>
        <cfvo type="num" val="69"/>
        <cfvo type="num" val="78"/>
      </iconSet>
    </cfRule>
    <cfRule type="iconSet" priority="55">
      <iconSet showValue="0">
        <cfvo type="percent" val="0"/>
        <cfvo type="num" val="69"/>
        <cfvo type="num" val="78"/>
      </iconSet>
    </cfRule>
  </conditionalFormatting>
  <conditionalFormatting sqref="H33">
    <cfRule type="iconSet" priority="225">
      <iconSet showValue="0">
        <cfvo type="percent" val="0"/>
        <cfvo type="num" val="69"/>
        <cfvo type="num" val="78"/>
      </iconSet>
    </cfRule>
    <cfRule type="iconSet" priority="224">
      <iconSet showValue="0">
        <cfvo type="percent" val="0"/>
        <cfvo type="num" val="69"/>
        <cfvo type="num" val="78"/>
      </iconSet>
    </cfRule>
  </conditionalFormatting>
  <conditionalFormatting sqref="K10">
    <cfRule type="iconSet" priority="214">
      <iconSet showValue="0">
        <cfvo type="percent" val="0"/>
        <cfvo type="num" val="69"/>
        <cfvo type="num" val="78"/>
      </iconSet>
    </cfRule>
    <cfRule type="iconSet" priority="215">
      <iconSet showValue="0">
        <cfvo type="percent" val="0"/>
        <cfvo type="num" val="69"/>
        <cfvo type="num" val="78"/>
      </iconSet>
    </cfRule>
  </conditionalFormatting>
  <conditionalFormatting sqref="K11">
    <cfRule type="iconSet" priority="213">
      <iconSet showValue="0">
        <cfvo type="percent" val="0"/>
        <cfvo type="num" val="69"/>
        <cfvo type="num" val="78"/>
      </iconSet>
    </cfRule>
    <cfRule type="iconSet" priority="212">
      <iconSet showValue="0">
        <cfvo type="percent" val="0"/>
        <cfvo type="num" val="69"/>
        <cfvo type="num" val="78"/>
      </iconSet>
    </cfRule>
  </conditionalFormatting>
  <conditionalFormatting sqref="K12">
    <cfRule type="iconSet" priority="211">
      <iconSet showValue="0">
        <cfvo type="percent" val="0"/>
        <cfvo type="num" val="69"/>
        <cfvo type="num" val="78"/>
      </iconSet>
    </cfRule>
    <cfRule type="iconSet" priority="210">
      <iconSet showValue="0">
        <cfvo type="percent" val="0"/>
        <cfvo type="num" val="69"/>
        <cfvo type="num" val="78"/>
      </iconSet>
    </cfRule>
  </conditionalFormatting>
  <conditionalFormatting sqref="K14">
    <cfRule type="iconSet" priority="194">
      <iconSet showValue="0">
        <cfvo type="percent" val="0"/>
        <cfvo type="num" val="50"/>
        <cfvo type="num" val="50"/>
      </iconSet>
    </cfRule>
  </conditionalFormatting>
  <conditionalFormatting sqref="K15">
    <cfRule type="iconSet" priority="208">
      <iconSet showValue="0">
        <cfvo type="percent" val="0"/>
        <cfvo type="num" val="69"/>
        <cfvo type="num" val="78"/>
      </iconSet>
    </cfRule>
    <cfRule type="iconSet" priority="209">
      <iconSet showValue="0">
        <cfvo type="percent" val="0"/>
        <cfvo type="num" val="69"/>
        <cfvo type="num" val="78"/>
      </iconSet>
    </cfRule>
  </conditionalFormatting>
  <conditionalFormatting sqref="K16">
    <cfRule type="iconSet" priority="34">
      <iconSet showValue="0">
        <cfvo type="percent" val="0"/>
        <cfvo type="num" val="70"/>
        <cfvo type="num" val="75"/>
      </iconSet>
    </cfRule>
  </conditionalFormatting>
  <conditionalFormatting sqref="K17">
    <cfRule type="iconSet" priority="89">
      <iconSet showValue="0">
        <cfvo type="percent" val="0"/>
        <cfvo type="num" val="50"/>
        <cfvo type="num" val="50"/>
      </iconSet>
    </cfRule>
  </conditionalFormatting>
  <conditionalFormatting sqref="K19">
    <cfRule type="iconSet" priority="3">
      <iconSet showValue="0">
        <cfvo type="percent" val="0"/>
        <cfvo type="num" val="70"/>
        <cfvo type="num" val="75"/>
      </iconSet>
    </cfRule>
  </conditionalFormatting>
  <conditionalFormatting sqref="K20">
    <cfRule type="iconSet" priority="193">
      <iconSet showValue="0">
        <cfvo type="percent" val="0"/>
        <cfvo type="num" val="50"/>
        <cfvo type="num" val="50"/>
      </iconSet>
    </cfRule>
  </conditionalFormatting>
  <conditionalFormatting sqref="K21">
    <cfRule type="iconSet" priority="192">
      <iconSet showValue="0">
        <cfvo type="percent" val="0"/>
        <cfvo type="num" val="50"/>
        <cfvo type="num" val="50"/>
      </iconSet>
    </cfRule>
  </conditionalFormatting>
  <conditionalFormatting sqref="K22">
    <cfRule type="iconSet" priority="4">
      <iconSet showValue="0">
        <cfvo type="percent" val="0"/>
        <cfvo type="num" val="69"/>
        <cfvo type="num" val="78"/>
      </iconSet>
    </cfRule>
    <cfRule type="iconSet" priority="5">
      <iconSet showValue="0">
        <cfvo type="percent" val="0"/>
        <cfvo type="num" val="69"/>
        <cfvo type="num" val="78"/>
      </iconSet>
    </cfRule>
  </conditionalFormatting>
  <conditionalFormatting sqref="K24">
    <cfRule type="iconSet" priority="204">
      <iconSet showValue="0">
        <cfvo type="percent" val="0"/>
        <cfvo type="num" val="69"/>
        <cfvo type="num" val="78"/>
      </iconSet>
    </cfRule>
    <cfRule type="iconSet" priority="205">
      <iconSet showValue="0">
        <cfvo type="percent" val="0"/>
        <cfvo type="num" val="69"/>
        <cfvo type="num" val="78"/>
      </iconSet>
    </cfRule>
  </conditionalFormatting>
  <conditionalFormatting sqref="K25">
    <cfRule type="iconSet" priority="195">
      <iconSet showValue="0">
        <cfvo type="percent" val="0"/>
        <cfvo type="num" val="70"/>
        <cfvo type="num" val="75"/>
      </iconSet>
    </cfRule>
  </conditionalFormatting>
  <conditionalFormatting sqref="K26">
    <cfRule type="iconSet" priority="42">
      <iconSet showValue="0">
        <cfvo type="percent" val="0"/>
        <cfvo type="num" val="50"/>
        <cfvo type="num" val="100"/>
      </iconSet>
    </cfRule>
  </conditionalFormatting>
  <conditionalFormatting sqref="K27">
    <cfRule type="iconSet" priority="45">
      <iconSet showValue="0">
        <cfvo type="percent" val="0"/>
        <cfvo type="num" val="50"/>
        <cfvo type="num" val="50"/>
      </iconSet>
    </cfRule>
  </conditionalFormatting>
  <conditionalFormatting sqref="K28">
    <cfRule type="iconSet" priority="59">
      <iconSet showValue="0">
        <cfvo type="percent" val="0"/>
        <cfvo type="num" val="69"/>
        <cfvo type="num" val="78"/>
      </iconSet>
    </cfRule>
    <cfRule type="iconSet" priority="60">
      <iconSet showValue="0">
        <cfvo type="percent" val="0"/>
        <cfvo type="num" val="69"/>
        <cfvo type="num" val="78"/>
      </iconSet>
    </cfRule>
  </conditionalFormatting>
  <conditionalFormatting sqref="K30:K31">
    <cfRule type="iconSet" priority="54">
      <iconSet showValue="0">
        <cfvo type="percent" val="0"/>
        <cfvo type="num" val="69"/>
        <cfvo type="num" val="78"/>
      </iconSet>
    </cfRule>
    <cfRule type="iconSet" priority="53">
      <iconSet showValue="0">
        <cfvo type="percent" val="0"/>
        <cfvo type="num" val="69"/>
        <cfvo type="num" val="78"/>
      </iconSet>
    </cfRule>
  </conditionalFormatting>
  <conditionalFormatting sqref="K33">
    <cfRule type="iconSet" priority="199">
      <iconSet showValue="0">
        <cfvo type="percent" val="0"/>
        <cfvo type="num" val="69"/>
        <cfvo type="num" val="78"/>
      </iconSet>
    </cfRule>
    <cfRule type="iconSet" priority="198">
      <iconSet showValue="0">
        <cfvo type="percent" val="0"/>
        <cfvo type="num" val="69"/>
        <cfvo type="num" val="78"/>
      </iconSet>
    </cfRule>
  </conditionalFormatting>
  <conditionalFormatting sqref="N10">
    <cfRule type="iconSet" priority="169">
      <iconSet showValue="0">
        <cfvo type="percent" val="0"/>
        <cfvo type="num" val="70"/>
        <cfvo type="num" val="75"/>
      </iconSet>
    </cfRule>
  </conditionalFormatting>
  <conditionalFormatting sqref="N11">
    <cfRule type="iconSet" priority="188">
      <iconSet showValue="0">
        <cfvo type="percent" val="0"/>
        <cfvo type="num" val="69"/>
        <cfvo type="num" val="78"/>
      </iconSet>
    </cfRule>
    <cfRule type="iconSet" priority="187">
      <iconSet showValue="0">
        <cfvo type="percent" val="0"/>
        <cfvo type="num" val="69"/>
        <cfvo type="num" val="78"/>
      </iconSet>
    </cfRule>
  </conditionalFormatting>
  <conditionalFormatting sqref="N12">
    <cfRule type="iconSet" priority="186">
      <iconSet showValue="0">
        <cfvo type="percent" val="0"/>
        <cfvo type="num" val="69"/>
        <cfvo type="num" val="78"/>
      </iconSet>
    </cfRule>
    <cfRule type="iconSet" priority="185">
      <iconSet showValue="0">
        <cfvo type="percent" val="0"/>
        <cfvo type="num" val="69"/>
        <cfvo type="num" val="78"/>
      </iconSet>
    </cfRule>
  </conditionalFormatting>
  <conditionalFormatting sqref="N14">
    <cfRule type="iconSet" priority="72">
      <iconSet showValue="0">
        <cfvo type="percent" val="0"/>
        <cfvo type="num" val="69"/>
        <cfvo type="num" val="78"/>
      </iconSet>
    </cfRule>
    <cfRule type="iconSet" priority="71">
      <iconSet showValue="0">
        <cfvo type="percent" val="0"/>
        <cfvo type="num" val="69"/>
        <cfvo type="num" val="78"/>
      </iconSet>
    </cfRule>
  </conditionalFormatting>
  <conditionalFormatting sqref="N15">
    <cfRule type="iconSet" priority="184">
      <iconSet showValue="0">
        <cfvo type="percent" val="0"/>
        <cfvo type="num" val="69"/>
        <cfvo type="num" val="78"/>
      </iconSet>
    </cfRule>
    <cfRule type="iconSet" priority="183">
      <iconSet showValue="0">
        <cfvo type="percent" val="0"/>
        <cfvo type="num" val="69"/>
        <cfvo type="num" val="78"/>
      </iconSet>
    </cfRule>
  </conditionalFormatting>
  <conditionalFormatting sqref="N16">
    <cfRule type="iconSet" priority="33">
      <iconSet showValue="0">
        <cfvo type="percent" val="0"/>
        <cfvo type="num" val="70"/>
        <cfvo type="num" val="75"/>
      </iconSet>
    </cfRule>
  </conditionalFormatting>
  <conditionalFormatting sqref="N17">
    <cfRule type="iconSet" priority="175">
      <iconSet showValue="0">
        <cfvo type="percent" val="0"/>
        <cfvo type="num" val="50"/>
        <cfvo type="num" val="50"/>
      </iconSet>
    </cfRule>
  </conditionalFormatting>
  <conditionalFormatting sqref="N19">
    <cfRule type="iconSet" priority="1">
      <iconSet showValue="0">
        <cfvo type="percent" val="0"/>
        <cfvo type="num" val="70"/>
        <cfvo type="num" val="75"/>
      </iconSet>
    </cfRule>
  </conditionalFormatting>
  <conditionalFormatting sqref="N20">
    <cfRule type="iconSet" priority="174">
      <iconSet showValue="0">
        <cfvo type="percent" val="0"/>
        <cfvo type="num" val="50"/>
        <cfvo type="num" val="50"/>
      </iconSet>
    </cfRule>
  </conditionalFormatting>
  <conditionalFormatting sqref="N21:N22">
    <cfRule type="iconSet" priority="167">
      <iconSet showValue="0">
        <cfvo type="percent" val="0"/>
        <cfvo type="num" val="70"/>
        <cfvo type="num" val="75"/>
      </iconSet>
    </cfRule>
  </conditionalFormatting>
  <conditionalFormatting sqref="N24">
    <cfRule type="iconSet" priority="172">
      <iconSet showValue="0">
        <cfvo type="percent" val="0"/>
        <cfvo type="num" val="50"/>
        <cfvo type="num" val="50"/>
      </iconSet>
    </cfRule>
  </conditionalFormatting>
  <conditionalFormatting sqref="N25">
    <cfRule type="iconSet" priority="171">
      <iconSet showValue="0">
        <cfvo type="percent" val="0"/>
        <cfvo type="num" val="50"/>
        <cfvo type="num" val="50"/>
      </iconSet>
    </cfRule>
  </conditionalFormatting>
  <conditionalFormatting sqref="N26">
    <cfRule type="iconSet" priority="41">
      <iconSet showValue="0">
        <cfvo type="percent" val="0"/>
        <cfvo type="num" val="50"/>
        <cfvo type="num" val="100"/>
      </iconSet>
    </cfRule>
  </conditionalFormatting>
  <conditionalFormatting sqref="N27:N28">
    <cfRule type="iconSet" priority="1960">
      <iconSet showValue="0">
        <cfvo type="percent" val="0"/>
        <cfvo type="num" val="50"/>
        <cfvo type="num" val="50"/>
      </iconSet>
    </cfRule>
  </conditionalFormatting>
  <conditionalFormatting sqref="N30:N31">
    <cfRule type="iconSet" priority="52">
      <iconSet showValue="0">
        <cfvo type="percent" val="0"/>
        <cfvo type="num" val="69"/>
        <cfvo type="num" val="78"/>
      </iconSet>
    </cfRule>
    <cfRule type="iconSet" priority="51">
      <iconSet showValue="0">
        <cfvo type="percent" val="0"/>
        <cfvo type="num" val="69"/>
        <cfvo type="num" val="78"/>
      </iconSet>
    </cfRule>
  </conditionalFormatting>
  <conditionalFormatting sqref="N33">
    <cfRule type="iconSet" priority="177">
      <iconSet showValue="0">
        <cfvo type="percent" val="0"/>
        <cfvo type="num" val="69"/>
        <cfvo type="num" val="78"/>
      </iconSet>
    </cfRule>
    <cfRule type="iconSet" priority="178">
      <iconSet showValue="0">
        <cfvo type="percent" val="0"/>
        <cfvo type="num" val="69"/>
        <cfvo type="num" val="78"/>
      </iconSet>
    </cfRule>
  </conditionalFormatting>
  <conditionalFormatting sqref="Q10">
    <cfRule type="iconSet" priority="157">
      <iconSet showValue="0">
        <cfvo type="percent" val="0"/>
        <cfvo type="num" val="69"/>
        <cfvo type="num" val="78"/>
      </iconSet>
    </cfRule>
    <cfRule type="iconSet" priority="156">
      <iconSet showValue="0">
        <cfvo type="percent" val="0"/>
        <cfvo type="num" val="69"/>
        <cfvo type="num" val="78"/>
      </iconSet>
    </cfRule>
  </conditionalFormatting>
  <conditionalFormatting sqref="Q11">
    <cfRule type="iconSet" priority="155">
      <iconSet showValue="0">
        <cfvo type="percent" val="0"/>
        <cfvo type="num" val="69"/>
        <cfvo type="num" val="78"/>
      </iconSet>
    </cfRule>
    <cfRule type="iconSet" priority="154">
      <iconSet showValue="0">
        <cfvo type="percent" val="0"/>
        <cfvo type="num" val="69"/>
        <cfvo type="num" val="78"/>
      </iconSet>
    </cfRule>
  </conditionalFormatting>
  <conditionalFormatting sqref="Q12">
    <cfRule type="iconSet" priority="164">
      <iconSet showValue="0">
        <cfvo type="percent" val="0"/>
        <cfvo type="num" val="70"/>
        <cfvo type="num" val="75"/>
      </iconSet>
    </cfRule>
  </conditionalFormatting>
  <conditionalFormatting sqref="Q14">
    <cfRule type="iconSet" priority="67">
      <iconSet showValue="0">
        <cfvo type="percent" val="0"/>
        <cfvo type="num" val="69"/>
        <cfvo type="num" val="78"/>
      </iconSet>
    </cfRule>
    <cfRule type="iconSet" priority="66">
      <iconSet showValue="0">
        <cfvo type="percent" val="0"/>
        <cfvo type="num" val="69"/>
        <cfvo type="num" val="78"/>
      </iconSet>
    </cfRule>
  </conditionalFormatting>
  <conditionalFormatting sqref="Q15">
    <cfRule type="iconSet" priority="163">
      <iconSet showValue="0">
        <cfvo type="percent" val="0"/>
        <cfvo type="num" val="70"/>
        <cfvo type="num" val="75"/>
      </iconSet>
    </cfRule>
  </conditionalFormatting>
  <conditionalFormatting sqref="Q16">
    <cfRule type="iconSet" priority="32">
      <iconSet showValue="0">
        <cfvo type="percent" val="0"/>
        <cfvo type="num" val="70"/>
        <cfvo type="num" val="75"/>
      </iconSet>
    </cfRule>
  </conditionalFormatting>
  <conditionalFormatting sqref="Q17">
    <cfRule type="iconSet" priority="149">
      <iconSet showValue="0">
        <cfvo type="percent" val="0"/>
        <cfvo type="num" val="50"/>
        <cfvo type="num" val="50"/>
      </iconSet>
    </cfRule>
  </conditionalFormatting>
  <conditionalFormatting sqref="Q19">
    <cfRule type="iconSet" priority="2">
      <iconSet showValue="0">
        <cfvo type="percent" val="0"/>
        <cfvo type="num" val="70"/>
        <cfvo type="num" val="75"/>
      </iconSet>
    </cfRule>
  </conditionalFormatting>
  <conditionalFormatting sqref="Q20">
    <cfRule type="iconSet" priority="161">
      <iconSet showValue="0">
        <cfvo type="percent" val="0"/>
        <cfvo type="num" val="70"/>
        <cfvo type="num" val="75"/>
      </iconSet>
    </cfRule>
  </conditionalFormatting>
  <conditionalFormatting sqref="Q21">
    <cfRule type="iconSet" priority="40">
      <iconSet showValue="0">
        <cfvo type="percent" val="0"/>
        <cfvo type="num" val="50"/>
        <cfvo type="num" val="50"/>
      </iconSet>
    </cfRule>
  </conditionalFormatting>
  <conditionalFormatting sqref="Q22">
    <cfRule type="iconSet" priority="160">
      <iconSet showValue="0">
        <cfvo type="percent" val="0"/>
        <cfvo type="num" val="70"/>
        <cfvo type="num" val="75"/>
      </iconSet>
    </cfRule>
  </conditionalFormatting>
  <conditionalFormatting sqref="Q24">
    <cfRule type="iconSet" priority="148">
      <iconSet showValue="0">
        <cfvo type="percent" val="0"/>
        <cfvo type="num" val="50"/>
        <cfvo type="num" val="50"/>
      </iconSet>
    </cfRule>
  </conditionalFormatting>
  <conditionalFormatting sqref="Q25">
    <cfRule type="iconSet" priority="147">
      <iconSet showValue="0">
        <cfvo type="percent" val="0"/>
        <cfvo type="num" val="50"/>
        <cfvo type="num" val="50"/>
      </iconSet>
    </cfRule>
  </conditionalFormatting>
  <conditionalFormatting sqref="Q26">
    <cfRule type="iconSet" priority="159">
      <iconSet showValue="0">
        <cfvo type="percent" val="0"/>
        <cfvo type="num" val="70"/>
        <cfvo type="num" val="75"/>
      </iconSet>
    </cfRule>
  </conditionalFormatting>
  <conditionalFormatting sqref="Q27">
    <cfRule type="iconSet" priority="44">
      <iconSet showValue="0">
        <cfvo type="percent" val="0"/>
        <cfvo type="num" val="50"/>
        <cfvo type="num" val="50"/>
      </iconSet>
    </cfRule>
  </conditionalFormatting>
  <conditionalFormatting sqref="Q28">
    <cfRule type="iconSet" priority="43">
      <iconSet showValue="0">
        <cfvo type="percent" val="0"/>
        <cfvo type="num" val="70"/>
        <cfvo type="num" val="75"/>
      </iconSet>
    </cfRule>
  </conditionalFormatting>
  <conditionalFormatting sqref="Q30">
    <cfRule type="iconSet" priority="50">
      <iconSet showValue="0">
        <cfvo type="percent" val="0"/>
        <cfvo type="num" val="50"/>
        <cfvo type="num" val="50"/>
      </iconSet>
    </cfRule>
  </conditionalFormatting>
  <conditionalFormatting sqref="Q31">
    <cfRule type="iconSet" priority="38">
      <iconSet showValue="0">
        <cfvo type="percent" val="0"/>
        <cfvo type="num" val="69"/>
        <cfvo type="num" val="78"/>
      </iconSet>
    </cfRule>
    <cfRule type="iconSet" priority="37">
      <iconSet showValue="0">
        <cfvo type="percent" val="0"/>
        <cfvo type="num" val="69"/>
        <cfvo type="num" val="78"/>
      </iconSet>
    </cfRule>
  </conditionalFormatting>
  <conditionalFormatting sqref="Q33">
    <cfRule type="iconSet" priority="79">
      <iconSet showValue="0">
        <cfvo type="percent" val="0"/>
        <cfvo type="num" val="50"/>
        <cfvo type="num" val="50"/>
      </iconSet>
    </cfRule>
  </conditionalFormatting>
  <conditionalFormatting sqref="T10">
    <cfRule type="iconSet" priority="132">
      <iconSet showValue="0">
        <cfvo type="percent" val="0"/>
        <cfvo type="num" val="50"/>
        <cfvo type="num" val="50"/>
      </iconSet>
    </cfRule>
  </conditionalFormatting>
  <conditionalFormatting sqref="T11">
    <cfRule type="iconSet" priority="144">
      <iconSet showValue="0">
        <cfvo type="percent" val="0"/>
        <cfvo type="num" val="69"/>
        <cfvo type="num" val="78"/>
      </iconSet>
    </cfRule>
    <cfRule type="iconSet" priority="143">
      <iconSet showValue="0">
        <cfvo type="percent" val="0"/>
        <cfvo type="num" val="69"/>
        <cfvo type="num" val="78"/>
      </iconSet>
    </cfRule>
  </conditionalFormatting>
  <conditionalFormatting sqref="T12">
    <cfRule type="iconSet" priority="142">
      <iconSet showValue="0">
        <cfvo type="percent" val="0"/>
        <cfvo type="num" val="69"/>
        <cfvo type="num" val="78"/>
      </iconSet>
    </cfRule>
    <cfRule type="iconSet" priority="141">
      <iconSet showValue="0">
        <cfvo type="percent" val="0"/>
        <cfvo type="num" val="69"/>
        <cfvo type="num" val="78"/>
      </iconSet>
    </cfRule>
  </conditionalFormatting>
  <conditionalFormatting sqref="T14">
    <cfRule type="iconSet" priority="64">
      <iconSet showValue="0">
        <cfvo type="percent" val="0"/>
        <cfvo type="num" val="69"/>
        <cfvo type="num" val="78"/>
      </iconSet>
    </cfRule>
    <cfRule type="iconSet" priority="65">
      <iconSet showValue="0">
        <cfvo type="percent" val="0"/>
        <cfvo type="num" val="69"/>
        <cfvo type="num" val="78"/>
      </iconSet>
    </cfRule>
  </conditionalFormatting>
  <conditionalFormatting sqref="T15">
    <cfRule type="iconSet" priority="139">
      <iconSet showValue="0">
        <cfvo type="percent" val="0"/>
        <cfvo type="num" val="69"/>
        <cfvo type="num" val="78"/>
      </iconSet>
    </cfRule>
    <cfRule type="iconSet" priority="140">
      <iconSet showValue="0">
        <cfvo type="percent" val="0"/>
        <cfvo type="num" val="69"/>
        <cfvo type="num" val="78"/>
      </iconSet>
    </cfRule>
  </conditionalFormatting>
  <conditionalFormatting sqref="T16">
    <cfRule type="iconSet" priority="261">
      <iconSet showValue="0">
        <cfvo type="percent" val="0"/>
        <cfvo type="percent" val="78"/>
        <cfvo type="percent" val="78"/>
      </iconSet>
    </cfRule>
  </conditionalFormatting>
  <conditionalFormatting sqref="T17">
    <cfRule type="iconSet" priority="130">
      <iconSet showValue="0">
        <cfvo type="percent" val="0"/>
        <cfvo type="num" val="50"/>
        <cfvo type="num" val="50"/>
      </iconSet>
    </cfRule>
  </conditionalFormatting>
  <conditionalFormatting sqref="T19">
    <cfRule type="iconSet" priority="39">
      <iconSet showValue="0">
        <cfvo type="percent" val="0"/>
        <cfvo type="num" val="50"/>
        <cfvo type="num" val="50"/>
      </iconSet>
    </cfRule>
  </conditionalFormatting>
  <conditionalFormatting sqref="T20">
    <cfRule type="iconSet" priority="254">
      <iconSet showValue="0">
        <cfvo type="percent" val="0"/>
        <cfvo type="num" val="80"/>
        <cfvo type="num" val="85"/>
      </iconSet>
    </cfRule>
  </conditionalFormatting>
  <conditionalFormatting sqref="T21:T22">
    <cfRule type="iconSet" priority="80">
      <iconSet showValue="0">
        <cfvo type="percent" val="0"/>
        <cfvo type="num" val="70"/>
        <cfvo type="num" val="75"/>
      </iconSet>
    </cfRule>
  </conditionalFormatting>
  <conditionalFormatting sqref="T30">
    <cfRule type="iconSet" priority="135">
      <iconSet showValue="0">
        <cfvo type="percent" val="0"/>
        <cfvo type="num" val="69"/>
        <cfvo type="num" val="78"/>
      </iconSet>
    </cfRule>
    <cfRule type="iconSet" priority="136">
      <iconSet showValue="0">
        <cfvo type="percent" val="0"/>
        <cfvo type="num" val="69"/>
        <cfvo type="num" val="78"/>
      </iconSet>
    </cfRule>
  </conditionalFormatting>
  <conditionalFormatting sqref="T31">
    <cfRule type="iconSet" priority="63">
      <iconSet showValue="0">
        <cfvo type="percent" val="0"/>
        <cfvo type="num" val="50"/>
        <cfvo type="num" val="50"/>
      </iconSet>
    </cfRule>
  </conditionalFormatting>
  <conditionalFormatting sqref="T33">
    <cfRule type="iconSet" priority="78">
      <iconSet showValue="0">
        <cfvo type="percent" val="0"/>
        <cfvo type="num" val="50"/>
        <cfvo type="num" val="50"/>
      </iconSet>
    </cfRule>
  </conditionalFormatting>
  <conditionalFormatting sqref="V7">
    <cfRule type="iconSet" priority="248">
      <iconSet showValue="0">
        <cfvo type="percent" val="0"/>
        <cfvo type="num" val="50"/>
        <cfvo type="num" val="100"/>
      </iconSet>
    </cfRule>
  </conditionalFormatting>
  <conditionalFormatting sqref="V8">
    <cfRule type="iconSet" priority="247">
      <iconSet showValue="0">
        <cfvo type="percent" val="0"/>
        <cfvo type="num" val="70"/>
        <cfvo type="num" val="75"/>
      </iconSet>
    </cfRule>
  </conditionalFormatting>
  <conditionalFormatting sqref="V9">
    <cfRule type="iconSet" priority="246">
      <iconSet showValue="0">
        <cfvo type="percent" val="0"/>
        <cfvo type="num" val="80"/>
        <cfvo type="num" val="85"/>
      </iconSet>
    </cfRule>
  </conditionalFormatting>
  <pageMargins left="0.25" right="0.25" top="0.75" bottom="0.75" header="0.3" footer="0.3"/>
  <pageSetup paperSize="5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9E29-5BCA-43EF-88CA-A0DFF997B2B9}">
  <sheetPr>
    <pageSetUpPr fitToPage="1"/>
  </sheetPr>
  <dimension ref="B1:AF39"/>
  <sheetViews>
    <sheetView showGridLines="0" tabSelected="1" zoomScale="89" zoomScaleNormal="89" workbookViewId="0">
      <selection activeCell="W11" sqref="W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61328125" defaultRowHeight="14" x14ac:dyDescent="0.3"/>
  <cols>
    <col min="1" max="1" width="2.61328125" customWidth="1"/>
    <col min="2" max="2" width="34.84375" customWidth="1"/>
    <col min="3" max="3" width="13.84375" customWidth="1"/>
    <col min="4" max="4" width="11.15234375" customWidth="1"/>
    <col min="5" max="6" width="2.61328125" customWidth="1"/>
    <col min="7" max="7" width="10.61328125" customWidth="1"/>
    <col min="8" max="8" width="2.61328125" style="170" customWidth="1"/>
    <col min="9" max="9" width="10.61328125" customWidth="1"/>
    <col min="10" max="10" width="2.61328125" customWidth="1"/>
    <col min="11" max="11" width="10.61328125" customWidth="1"/>
    <col min="12" max="12" width="2.61328125" customWidth="1"/>
    <col min="13" max="13" width="10.61328125" customWidth="1"/>
    <col min="14" max="14" width="2.61328125" customWidth="1"/>
    <col min="15" max="15" width="10.61328125" customWidth="1"/>
    <col min="16" max="16" width="2.61328125" customWidth="1"/>
    <col min="17" max="17" width="10.61328125" customWidth="1"/>
    <col min="18" max="18" width="2.61328125" customWidth="1"/>
    <col min="19" max="19" width="9.15234375" customWidth="1"/>
    <col min="20" max="20" width="2.61328125" customWidth="1"/>
    <col min="21" max="21" width="8.15234375" customWidth="1"/>
    <col min="22" max="22" width="2.61328125" customWidth="1"/>
    <col min="23" max="23" width="10.61328125" customWidth="1"/>
    <col min="24" max="24" width="3.3828125" customWidth="1"/>
    <col min="25" max="25" width="13.3828125" customWidth="1"/>
    <col min="27" max="28" width="6.3828125" customWidth="1"/>
    <col min="29" max="29" width="6.3828125" hidden="1" customWidth="1"/>
    <col min="32" max="32" width="15.15234375" customWidth="1"/>
    <col min="35" max="38" width="0" hidden="1" customWidth="1"/>
  </cols>
  <sheetData>
    <row r="1" spans="2:28" ht="40.5" customHeight="1" x14ac:dyDescent="0.3">
      <c r="B1" s="467" t="s">
        <v>5</v>
      </c>
      <c r="C1" s="467"/>
      <c r="D1" s="467"/>
      <c r="E1" s="467"/>
      <c r="F1" s="467"/>
      <c r="G1" s="467"/>
      <c r="H1"/>
    </row>
    <row r="2" spans="2:28" ht="17.5" x14ac:dyDescent="0.3">
      <c r="B2" s="233" t="s">
        <v>1</v>
      </c>
      <c r="C2" s="233"/>
    </row>
    <row r="3" spans="2:28" ht="17.5" x14ac:dyDescent="0.3">
      <c r="B3" s="233"/>
      <c r="C3" s="233"/>
    </row>
    <row r="4" spans="2:28" ht="21" customHeight="1" x14ac:dyDescent="0.3">
      <c r="B4" s="12" t="s">
        <v>2</v>
      </c>
      <c r="C4" s="12" t="s">
        <v>85</v>
      </c>
      <c r="D4" s="375" t="s">
        <v>86</v>
      </c>
      <c r="E4" s="468" t="s">
        <v>87</v>
      </c>
      <c r="F4" s="469"/>
      <c r="G4" s="445" t="s">
        <v>88</v>
      </c>
      <c r="H4" s="440"/>
      <c r="I4" s="445" t="s">
        <v>89</v>
      </c>
      <c r="J4" s="440"/>
      <c r="K4" s="445" t="s">
        <v>90</v>
      </c>
      <c r="L4" s="440"/>
      <c r="M4" s="445" t="s">
        <v>91</v>
      </c>
      <c r="N4" s="440"/>
      <c r="O4" s="445" t="s">
        <v>92</v>
      </c>
      <c r="P4" s="440"/>
      <c r="Q4" s="445" t="s">
        <v>93</v>
      </c>
      <c r="R4" s="440"/>
      <c r="S4" s="445" t="s">
        <v>94</v>
      </c>
      <c r="T4" s="440"/>
      <c r="U4" s="445" t="s">
        <v>95</v>
      </c>
      <c r="V4" s="440"/>
      <c r="W4" s="445" t="s">
        <v>96</v>
      </c>
      <c r="X4" s="440"/>
    </row>
    <row r="5" spans="2:28" ht="11.15" customHeight="1" x14ac:dyDescent="0.3">
      <c r="B5" s="39"/>
      <c r="C5" s="39"/>
      <c r="D5" s="374"/>
      <c r="E5" s="43"/>
      <c r="F5" s="43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</row>
    <row r="6" spans="2:28" ht="20.25" customHeight="1" x14ac:dyDescent="0.3">
      <c r="B6" s="132" t="s">
        <v>10</v>
      </c>
      <c r="C6" s="132"/>
      <c r="D6" s="373" t="s">
        <v>11</v>
      </c>
      <c r="E6" s="54"/>
      <c r="F6" s="54"/>
      <c r="G6" s="54"/>
      <c r="H6" s="171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5"/>
      <c r="W6" s="55"/>
      <c r="X6" s="55"/>
      <c r="Y6" s="16"/>
    </row>
    <row r="7" spans="2:28" ht="20.25" customHeight="1" x14ac:dyDescent="0.3">
      <c r="B7" s="103" t="s">
        <v>12</v>
      </c>
      <c r="C7" s="103"/>
      <c r="D7" s="372"/>
      <c r="E7" s="96"/>
      <c r="F7" s="95"/>
      <c r="G7" s="96"/>
      <c r="H7" s="98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4"/>
      <c r="W7" s="94"/>
      <c r="X7" s="94"/>
      <c r="Y7" s="135"/>
    </row>
    <row r="8" spans="2:28" ht="20.25" customHeight="1" x14ac:dyDescent="0.3">
      <c r="B8" s="103" t="s">
        <v>13</v>
      </c>
      <c r="C8" s="103"/>
      <c r="D8" s="372"/>
      <c r="E8" s="96"/>
      <c r="F8" s="93"/>
      <c r="G8" s="96"/>
      <c r="H8" s="98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4"/>
      <c r="W8" s="94"/>
      <c r="X8" s="94"/>
      <c r="Y8" s="134"/>
    </row>
    <row r="9" spans="2:28" ht="20.25" customHeight="1" x14ac:dyDescent="0.3">
      <c r="B9" s="56" t="s">
        <v>14</v>
      </c>
      <c r="C9" s="214"/>
      <c r="D9" s="466" t="s">
        <v>15</v>
      </c>
      <c r="E9" s="444"/>
      <c r="F9" s="444"/>
      <c r="G9" s="444"/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44"/>
      <c r="T9" s="444"/>
      <c r="U9" s="444"/>
      <c r="V9" s="444"/>
      <c r="W9" s="444"/>
      <c r="X9" s="444"/>
    </row>
    <row r="10" spans="2:28" ht="20.25" customHeight="1" x14ac:dyDescent="0.3">
      <c r="B10" s="13" t="s">
        <v>16</v>
      </c>
      <c r="C10" s="358" t="s">
        <v>97</v>
      </c>
      <c r="D10" s="335">
        <v>0.82</v>
      </c>
      <c r="E10" s="14">
        <v>100</v>
      </c>
      <c r="F10" s="102"/>
      <c r="G10" s="268">
        <v>0.81</v>
      </c>
      <c r="H10" s="269">
        <v>100</v>
      </c>
      <c r="I10" s="270">
        <v>0.83</v>
      </c>
      <c r="J10" s="269">
        <v>100</v>
      </c>
      <c r="K10" s="270">
        <v>0.77</v>
      </c>
      <c r="L10" s="269">
        <v>100</v>
      </c>
      <c r="M10" s="270">
        <v>0.76</v>
      </c>
      <c r="N10" s="269">
        <v>100</v>
      </c>
      <c r="O10" s="270">
        <v>0.87</v>
      </c>
      <c r="P10" s="269">
        <v>100</v>
      </c>
      <c r="Q10" s="270">
        <v>0.83</v>
      </c>
      <c r="R10" s="269">
        <v>100</v>
      </c>
      <c r="S10" s="270">
        <v>0.9</v>
      </c>
      <c r="T10" s="269">
        <v>100</v>
      </c>
      <c r="U10" s="270">
        <v>0.94</v>
      </c>
      <c r="V10" s="269">
        <v>100</v>
      </c>
      <c r="W10" s="270">
        <v>0.87</v>
      </c>
      <c r="X10" s="269">
        <v>100</v>
      </c>
      <c r="Y10" s="9"/>
      <c r="AA10" s="9"/>
      <c r="AB10" s="9"/>
    </row>
    <row r="11" spans="2:28" ht="20.25" customHeight="1" x14ac:dyDescent="0.3">
      <c r="B11" s="360" t="s">
        <v>18</v>
      </c>
      <c r="C11" s="358" t="s">
        <v>33</v>
      </c>
      <c r="D11" s="317">
        <v>86.25</v>
      </c>
      <c r="E11" s="14">
        <v>100</v>
      </c>
      <c r="F11" s="114"/>
      <c r="G11" s="179">
        <v>88.75</v>
      </c>
      <c r="H11" s="180">
        <v>100</v>
      </c>
      <c r="I11" s="180">
        <v>88.25</v>
      </c>
      <c r="J11" s="180">
        <v>100</v>
      </c>
      <c r="K11" s="181">
        <v>84.75</v>
      </c>
      <c r="L11" s="180">
        <v>100</v>
      </c>
      <c r="M11" s="426">
        <v>87</v>
      </c>
      <c r="N11" s="180">
        <v>100</v>
      </c>
      <c r="O11" s="425">
        <v>83.5</v>
      </c>
      <c r="P11" s="180">
        <v>100</v>
      </c>
      <c r="Q11" s="426">
        <v>91</v>
      </c>
      <c r="R11" s="180">
        <v>100</v>
      </c>
      <c r="S11" s="425">
        <v>84.5</v>
      </c>
      <c r="T11" s="16">
        <v>100</v>
      </c>
      <c r="U11" s="425">
        <v>86.5</v>
      </c>
      <c r="V11" s="180">
        <v>100</v>
      </c>
      <c r="W11" s="181">
        <v>86.75</v>
      </c>
      <c r="X11" s="180">
        <v>100</v>
      </c>
      <c r="Z11" s="9"/>
      <c r="AA11" s="9"/>
      <c r="AB11" s="9"/>
    </row>
    <row r="12" spans="2:28" ht="20.25" customHeight="1" x14ac:dyDescent="0.3">
      <c r="B12" s="360" t="s">
        <v>20</v>
      </c>
      <c r="C12" s="358" t="s">
        <v>98</v>
      </c>
      <c r="D12" s="306">
        <v>83</v>
      </c>
      <c r="E12" s="14">
        <v>100</v>
      </c>
      <c r="F12" s="115"/>
      <c r="G12" s="182">
        <v>85</v>
      </c>
      <c r="H12" s="180">
        <v>100</v>
      </c>
      <c r="I12" s="183">
        <v>86</v>
      </c>
      <c r="J12" s="180">
        <v>100</v>
      </c>
      <c r="K12" s="183">
        <v>82</v>
      </c>
      <c r="L12" s="180">
        <v>100</v>
      </c>
      <c r="M12" s="183">
        <v>84</v>
      </c>
      <c r="N12" s="180">
        <v>100</v>
      </c>
      <c r="O12" s="183">
        <v>84</v>
      </c>
      <c r="P12" s="180">
        <v>100</v>
      </c>
      <c r="Q12" s="183">
        <v>91</v>
      </c>
      <c r="R12" s="180">
        <v>100</v>
      </c>
      <c r="S12" s="183">
        <v>82</v>
      </c>
      <c r="T12" s="16">
        <v>100</v>
      </c>
      <c r="U12" s="183">
        <v>85</v>
      </c>
      <c r="V12" s="180">
        <v>100</v>
      </c>
      <c r="W12" s="183">
        <v>83</v>
      </c>
      <c r="X12" s="180">
        <v>100</v>
      </c>
    </row>
    <row r="13" spans="2:28" ht="20.25" customHeight="1" x14ac:dyDescent="0.3">
      <c r="B13" s="59" t="s">
        <v>22</v>
      </c>
      <c r="C13" s="410"/>
      <c r="D13" s="371" t="s">
        <v>23</v>
      </c>
      <c r="E13" s="57"/>
      <c r="F13" s="57"/>
      <c r="G13" s="57"/>
      <c r="H13" s="172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</row>
    <row r="14" spans="2:28" x14ac:dyDescent="0.3">
      <c r="B14" s="360" t="s">
        <v>24</v>
      </c>
      <c r="C14" s="416">
        <v>3538</v>
      </c>
      <c r="D14" s="376" t="s">
        <v>27</v>
      </c>
      <c r="E14" s="23">
        <v>30</v>
      </c>
      <c r="F14" s="115"/>
      <c r="G14" s="182" t="s">
        <v>99</v>
      </c>
      <c r="H14" s="184">
        <v>100</v>
      </c>
      <c r="I14" s="183" t="s">
        <v>100</v>
      </c>
      <c r="J14" s="23">
        <v>30</v>
      </c>
      <c r="K14" s="183" t="s">
        <v>101</v>
      </c>
      <c r="L14" s="184">
        <v>100</v>
      </c>
      <c r="M14" s="183" t="s">
        <v>102</v>
      </c>
      <c r="N14" s="23">
        <v>100</v>
      </c>
      <c r="O14" s="183" t="s">
        <v>103</v>
      </c>
      <c r="P14" s="23">
        <v>30</v>
      </c>
      <c r="Q14" s="183" t="s">
        <v>104</v>
      </c>
      <c r="R14" s="23">
        <v>30</v>
      </c>
      <c r="S14" s="183" t="s">
        <v>105</v>
      </c>
      <c r="T14" s="23">
        <v>30</v>
      </c>
      <c r="U14" s="183" t="s">
        <v>106</v>
      </c>
      <c r="V14" s="184">
        <v>100</v>
      </c>
      <c r="W14" s="183" t="s">
        <v>107</v>
      </c>
      <c r="X14" s="183">
        <v>100</v>
      </c>
    </row>
    <row r="15" spans="2:28" ht="20.25" customHeight="1" x14ac:dyDescent="0.3">
      <c r="B15" s="360" t="s">
        <v>32</v>
      </c>
      <c r="C15" s="306" t="s">
        <v>33</v>
      </c>
      <c r="D15" s="306">
        <v>83</v>
      </c>
      <c r="E15" s="14">
        <v>100</v>
      </c>
      <c r="F15" s="116"/>
      <c r="G15" s="182">
        <v>84</v>
      </c>
      <c r="H15" s="184">
        <v>100</v>
      </c>
      <c r="I15" s="183">
        <v>87</v>
      </c>
      <c r="J15" s="184">
        <v>100</v>
      </c>
      <c r="K15" s="183">
        <v>81</v>
      </c>
      <c r="L15" s="184">
        <v>100</v>
      </c>
      <c r="M15" s="183">
        <v>84</v>
      </c>
      <c r="N15" s="184">
        <v>100</v>
      </c>
      <c r="O15" s="183">
        <v>83</v>
      </c>
      <c r="P15" s="184">
        <v>100</v>
      </c>
      <c r="Q15" s="183">
        <v>92</v>
      </c>
      <c r="R15" s="184">
        <v>100</v>
      </c>
      <c r="S15" s="183">
        <v>81</v>
      </c>
      <c r="T15" s="184">
        <v>100</v>
      </c>
      <c r="U15" s="183">
        <v>85</v>
      </c>
      <c r="V15" s="184">
        <v>100</v>
      </c>
      <c r="W15" s="183">
        <v>83</v>
      </c>
      <c r="X15" s="184">
        <v>100</v>
      </c>
    </row>
    <row r="16" spans="2:28" ht="20.25" customHeight="1" x14ac:dyDescent="0.3">
      <c r="B16" s="400" t="s">
        <v>34</v>
      </c>
      <c r="C16" s="358" t="s">
        <v>108</v>
      </c>
      <c r="D16" s="306" t="s">
        <v>109</v>
      </c>
      <c r="E16" s="319">
        <v>73</v>
      </c>
      <c r="F16" s="116"/>
      <c r="G16" s="23" t="s">
        <v>110</v>
      </c>
      <c r="H16" s="321">
        <v>100</v>
      </c>
      <c r="I16" s="23" t="s">
        <v>111</v>
      </c>
      <c r="J16" s="319">
        <v>73</v>
      </c>
      <c r="K16" s="23" t="s">
        <v>112</v>
      </c>
      <c r="L16" s="319">
        <v>73</v>
      </c>
      <c r="M16" s="23" t="s">
        <v>111</v>
      </c>
      <c r="N16" s="319">
        <v>73</v>
      </c>
      <c r="O16" s="23" t="s">
        <v>111</v>
      </c>
      <c r="P16" s="319">
        <v>73</v>
      </c>
      <c r="Q16" s="23" t="s">
        <v>113</v>
      </c>
      <c r="R16" s="183"/>
      <c r="S16" s="23" t="s">
        <v>114</v>
      </c>
      <c r="T16" s="319">
        <v>73</v>
      </c>
      <c r="U16" s="23" t="s">
        <v>115</v>
      </c>
      <c r="V16" s="321">
        <v>100</v>
      </c>
      <c r="W16" s="23" t="s">
        <v>116</v>
      </c>
      <c r="X16" s="321">
        <v>100</v>
      </c>
    </row>
    <row r="17" spans="2:32" ht="20.25" customHeight="1" x14ac:dyDescent="0.3">
      <c r="B17" s="13" t="s">
        <v>42</v>
      </c>
      <c r="C17" s="358" t="s">
        <v>117</v>
      </c>
      <c r="D17" s="370">
        <v>0.13500000000000001</v>
      </c>
      <c r="E17" s="14">
        <v>100</v>
      </c>
      <c r="F17" s="117"/>
      <c r="G17" s="185">
        <v>0.16200000000000001</v>
      </c>
      <c r="H17" s="184">
        <v>30</v>
      </c>
      <c r="I17" s="186">
        <v>0.10299999999999999</v>
      </c>
      <c r="J17" s="184">
        <v>100</v>
      </c>
      <c r="K17" s="177">
        <v>0.13600000000000001</v>
      </c>
      <c r="L17" s="184">
        <v>100</v>
      </c>
      <c r="M17" s="177">
        <v>0.17100000000000001</v>
      </c>
      <c r="N17" s="19">
        <v>30</v>
      </c>
      <c r="O17" s="177">
        <v>0.16500000000000001</v>
      </c>
      <c r="P17" s="184">
        <v>100</v>
      </c>
      <c r="Q17" s="177">
        <v>0.13100000000000001</v>
      </c>
      <c r="R17" s="23">
        <v>100</v>
      </c>
      <c r="S17" s="177">
        <v>0.14699999999999999</v>
      </c>
      <c r="T17" s="184">
        <v>100</v>
      </c>
      <c r="U17" s="177">
        <v>0.14799999999999999</v>
      </c>
      <c r="V17" s="184">
        <v>100</v>
      </c>
      <c r="W17" s="177">
        <v>0.12</v>
      </c>
      <c r="X17" s="184">
        <v>100</v>
      </c>
    </row>
    <row r="18" spans="2:32" ht="20.25" customHeight="1" x14ac:dyDescent="0.3">
      <c r="B18" s="62" t="s">
        <v>44</v>
      </c>
      <c r="C18" s="411"/>
      <c r="D18" s="352" t="s">
        <v>45</v>
      </c>
      <c r="E18" s="60"/>
      <c r="F18" s="60"/>
      <c r="G18" s="60"/>
      <c r="H18" s="173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465"/>
      <c r="Z18" s="465"/>
      <c r="AA18" s="465"/>
      <c r="AB18" s="465"/>
      <c r="AC18" s="465"/>
      <c r="AD18" s="465"/>
      <c r="AE18" s="465"/>
      <c r="AF18" s="465"/>
    </row>
    <row r="19" spans="2:32" ht="20.25" customHeight="1" x14ac:dyDescent="0.3">
      <c r="B19" s="72" t="s">
        <v>46</v>
      </c>
      <c r="C19" s="358" t="s">
        <v>118</v>
      </c>
      <c r="D19" s="17" t="s">
        <v>49</v>
      </c>
      <c r="E19" s="19">
        <v>73</v>
      </c>
      <c r="F19" s="105"/>
      <c r="G19" s="17" t="s">
        <v>49</v>
      </c>
      <c r="H19" s="19">
        <v>73</v>
      </c>
      <c r="I19" s="17" t="s">
        <v>49</v>
      </c>
      <c r="J19" s="19">
        <v>73</v>
      </c>
      <c r="K19" s="17" t="s">
        <v>49</v>
      </c>
      <c r="L19" s="19">
        <v>73</v>
      </c>
      <c r="M19" s="17" t="s">
        <v>49</v>
      </c>
      <c r="N19" s="19">
        <v>73</v>
      </c>
      <c r="O19" s="17" t="s">
        <v>49</v>
      </c>
      <c r="P19" s="19">
        <v>73</v>
      </c>
      <c r="Q19" s="17" t="s">
        <v>49</v>
      </c>
      <c r="R19" s="19">
        <v>73</v>
      </c>
      <c r="S19" s="17" t="s">
        <v>49</v>
      </c>
      <c r="T19" s="19">
        <v>73</v>
      </c>
      <c r="U19" s="17" t="s">
        <v>49</v>
      </c>
      <c r="V19" s="19">
        <v>73</v>
      </c>
      <c r="W19" s="17" t="s">
        <v>49</v>
      </c>
      <c r="X19" s="19">
        <v>73</v>
      </c>
      <c r="Y19" s="290"/>
    </row>
    <row r="20" spans="2:32" ht="20.25" customHeight="1" x14ac:dyDescent="0.3">
      <c r="B20" s="72" t="s">
        <v>54</v>
      </c>
      <c r="C20" s="358" t="s">
        <v>108</v>
      </c>
      <c r="D20" s="369">
        <v>71</v>
      </c>
      <c r="E20" s="19">
        <v>73</v>
      </c>
      <c r="F20" s="106"/>
      <c r="G20" s="189">
        <v>58</v>
      </c>
      <c r="H20" s="306">
        <v>30</v>
      </c>
      <c r="I20" s="190">
        <v>93</v>
      </c>
      <c r="J20" s="14">
        <v>100</v>
      </c>
      <c r="K20" s="190">
        <v>90</v>
      </c>
      <c r="L20" s="14">
        <v>100</v>
      </c>
      <c r="M20" s="190">
        <v>53</v>
      </c>
      <c r="N20" s="23">
        <v>30</v>
      </c>
      <c r="O20" s="190">
        <v>54</v>
      </c>
      <c r="P20" s="306">
        <v>30</v>
      </c>
      <c r="Q20" s="190">
        <v>98</v>
      </c>
      <c r="R20" s="303">
        <v>100</v>
      </c>
      <c r="S20" s="190">
        <v>73</v>
      </c>
      <c r="T20" s="19">
        <v>73</v>
      </c>
      <c r="U20" s="190">
        <v>55</v>
      </c>
      <c r="V20" s="306">
        <v>30</v>
      </c>
      <c r="W20" s="190">
        <v>57</v>
      </c>
      <c r="X20" s="306">
        <v>30</v>
      </c>
      <c r="Y20" s="290"/>
    </row>
    <row r="21" spans="2:32" ht="20.25" customHeight="1" x14ac:dyDescent="0.3">
      <c r="B21" s="72" t="s">
        <v>55</v>
      </c>
      <c r="C21" s="358" t="s">
        <v>108</v>
      </c>
      <c r="D21" s="369">
        <v>80</v>
      </c>
      <c r="E21" s="14">
        <v>100</v>
      </c>
      <c r="F21" s="106"/>
      <c r="G21" s="189">
        <v>83</v>
      </c>
      <c r="H21" s="14">
        <v>100</v>
      </c>
      <c r="I21" s="190">
        <v>71</v>
      </c>
      <c r="J21" s="313">
        <v>73</v>
      </c>
      <c r="K21" s="190">
        <v>88</v>
      </c>
      <c r="L21" s="303">
        <v>100</v>
      </c>
      <c r="M21" s="190">
        <v>74</v>
      </c>
      <c r="N21" s="14">
        <v>100</v>
      </c>
      <c r="O21" s="190">
        <v>66</v>
      </c>
      <c r="P21" s="313">
        <v>73</v>
      </c>
      <c r="Q21" s="190">
        <v>98</v>
      </c>
      <c r="R21" s="303">
        <v>100</v>
      </c>
      <c r="S21" s="190">
        <v>57</v>
      </c>
      <c r="T21" s="306">
        <v>30</v>
      </c>
      <c r="U21" s="190">
        <v>84</v>
      </c>
      <c r="V21" s="14">
        <v>100</v>
      </c>
      <c r="W21" s="190">
        <v>90</v>
      </c>
      <c r="X21" s="14">
        <v>100</v>
      </c>
      <c r="Y21" s="290"/>
    </row>
    <row r="22" spans="2:32" ht="30.65" customHeight="1" x14ac:dyDescent="0.3">
      <c r="B22" s="13" t="s">
        <v>56</v>
      </c>
      <c r="C22" s="358" t="s">
        <v>108</v>
      </c>
      <c r="D22" s="369">
        <v>68</v>
      </c>
      <c r="E22" s="19">
        <v>73</v>
      </c>
      <c r="F22" s="107"/>
      <c r="G22" s="191">
        <v>68</v>
      </c>
      <c r="H22" s="19">
        <v>73</v>
      </c>
      <c r="I22" s="190">
        <v>68</v>
      </c>
      <c r="J22" s="19">
        <v>73</v>
      </c>
      <c r="K22" s="190">
        <v>68</v>
      </c>
      <c r="L22" s="19">
        <v>73</v>
      </c>
      <c r="M22" s="190">
        <v>68</v>
      </c>
      <c r="N22" s="19">
        <v>73</v>
      </c>
      <c r="O22" s="190">
        <v>68</v>
      </c>
      <c r="P22" s="19">
        <v>73</v>
      </c>
      <c r="Q22" s="190">
        <v>68</v>
      </c>
      <c r="R22" s="19">
        <v>73</v>
      </c>
      <c r="S22" s="190">
        <v>68</v>
      </c>
      <c r="T22" s="19">
        <v>73</v>
      </c>
      <c r="U22" s="190">
        <v>68</v>
      </c>
      <c r="V22" s="19">
        <v>73</v>
      </c>
      <c r="W22" s="190">
        <v>68</v>
      </c>
      <c r="X22" s="19">
        <v>73</v>
      </c>
      <c r="Y22" s="290"/>
      <c r="AD22" s="18"/>
    </row>
    <row r="23" spans="2:32" ht="20.25" customHeight="1" x14ac:dyDescent="0.3">
      <c r="B23" s="68" t="s">
        <v>57</v>
      </c>
      <c r="C23" s="412"/>
      <c r="D23" s="368" t="s">
        <v>58</v>
      </c>
      <c r="E23" s="65"/>
      <c r="F23" s="65"/>
      <c r="G23" s="66"/>
      <c r="H23" s="174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290"/>
      <c r="AD23" s="18"/>
    </row>
    <row r="24" spans="2:32" ht="20.25" customHeight="1" x14ac:dyDescent="0.3">
      <c r="B24" s="13" t="s">
        <v>59</v>
      </c>
      <c r="C24" s="358" t="s">
        <v>119</v>
      </c>
      <c r="D24" s="336">
        <v>0</v>
      </c>
      <c r="E24" s="23">
        <v>30</v>
      </c>
      <c r="F24" s="144"/>
      <c r="G24" s="182">
        <v>0</v>
      </c>
      <c r="H24" s="23">
        <v>30</v>
      </c>
      <c r="I24" s="183">
        <v>0</v>
      </c>
      <c r="J24" s="23">
        <v>30</v>
      </c>
      <c r="K24" s="183">
        <v>0</v>
      </c>
      <c r="L24" s="23">
        <v>30</v>
      </c>
      <c r="M24" s="183">
        <v>0</v>
      </c>
      <c r="N24" s="23">
        <v>30</v>
      </c>
      <c r="O24" s="183">
        <v>0</v>
      </c>
      <c r="P24" s="23">
        <v>30</v>
      </c>
      <c r="Q24" s="183" t="s">
        <v>120</v>
      </c>
      <c r="R24" s="23" t="s">
        <v>41</v>
      </c>
      <c r="S24" s="183">
        <v>0</v>
      </c>
      <c r="T24" s="23">
        <v>30</v>
      </c>
      <c r="U24" s="183">
        <v>0</v>
      </c>
      <c r="V24" s="23">
        <v>30</v>
      </c>
      <c r="W24" s="183">
        <v>0</v>
      </c>
      <c r="X24" s="23">
        <v>30</v>
      </c>
      <c r="Y24" s="290"/>
      <c r="AD24" s="18"/>
    </row>
    <row r="25" spans="2:32" ht="20.25" customHeight="1" x14ac:dyDescent="0.3">
      <c r="B25" s="13" t="s">
        <v>61</v>
      </c>
      <c r="C25" s="358" t="s">
        <v>121</v>
      </c>
      <c r="D25" s="336">
        <v>0.88</v>
      </c>
      <c r="E25" s="19">
        <v>73</v>
      </c>
      <c r="F25" s="144"/>
      <c r="G25" s="182">
        <v>0</v>
      </c>
      <c r="H25" s="23">
        <v>30</v>
      </c>
      <c r="I25" s="231">
        <v>1</v>
      </c>
      <c r="J25" s="14">
        <v>100</v>
      </c>
      <c r="K25" s="231">
        <v>1</v>
      </c>
      <c r="L25" s="14">
        <v>100</v>
      </c>
      <c r="M25" s="231">
        <v>1</v>
      </c>
      <c r="N25" s="14">
        <v>100</v>
      </c>
      <c r="O25" s="231">
        <v>1</v>
      </c>
      <c r="P25" s="14">
        <v>100</v>
      </c>
      <c r="Q25" s="183" t="s">
        <v>120</v>
      </c>
      <c r="R25" s="192" t="s">
        <v>41</v>
      </c>
      <c r="S25" s="231">
        <v>1</v>
      </c>
      <c r="T25" s="14">
        <v>100</v>
      </c>
      <c r="U25" s="231">
        <v>1</v>
      </c>
      <c r="V25" s="14">
        <v>100</v>
      </c>
      <c r="W25" s="231">
        <v>1</v>
      </c>
      <c r="X25" s="14">
        <v>100</v>
      </c>
      <c r="Y25" s="290"/>
      <c r="AD25" s="19"/>
    </row>
    <row r="26" spans="2:32" ht="20.25" customHeight="1" x14ac:dyDescent="0.3">
      <c r="B26" s="13" t="s">
        <v>63</v>
      </c>
      <c r="C26" s="306" t="s">
        <v>64</v>
      </c>
      <c r="D26" s="367">
        <v>1</v>
      </c>
      <c r="E26" s="19">
        <v>100</v>
      </c>
      <c r="F26" s="145"/>
      <c r="G26" s="179">
        <v>0.36</v>
      </c>
      <c r="H26" s="14">
        <v>100</v>
      </c>
      <c r="I26" s="180">
        <v>0.41</v>
      </c>
      <c r="J26" s="14">
        <v>100</v>
      </c>
      <c r="K26" s="180">
        <v>0.3</v>
      </c>
      <c r="L26" s="14">
        <v>100</v>
      </c>
      <c r="M26" s="180">
        <v>0.44</v>
      </c>
      <c r="N26" s="14">
        <v>100</v>
      </c>
      <c r="O26" s="180">
        <v>0.44</v>
      </c>
      <c r="P26" s="14">
        <v>100</v>
      </c>
      <c r="Q26" s="180">
        <v>0.62</v>
      </c>
      <c r="R26" s="303">
        <v>100</v>
      </c>
      <c r="S26" s="180">
        <v>0.6</v>
      </c>
      <c r="T26" s="14">
        <v>100</v>
      </c>
      <c r="U26" s="180">
        <v>0.31</v>
      </c>
      <c r="V26" s="14">
        <v>100</v>
      </c>
      <c r="W26" s="180">
        <v>0.42</v>
      </c>
      <c r="X26" s="14">
        <v>100</v>
      </c>
      <c r="Y26" s="290"/>
      <c r="AD26" s="19"/>
    </row>
    <row r="27" spans="2:32" ht="37.5" x14ac:dyDescent="0.3">
      <c r="B27" s="360" t="s">
        <v>65</v>
      </c>
      <c r="C27" s="306" t="s">
        <v>66</v>
      </c>
      <c r="D27" s="336">
        <v>1</v>
      </c>
      <c r="E27" s="313">
        <v>100</v>
      </c>
      <c r="F27" s="153"/>
      <c r="G27" s="179">
        <v>3.91</v>
      </c>
      <c r="H27" s="14">
        <v>100</v>
      </c>
      <c r="I27" s="180">
        <v>3.94</v>
      </c>
      <c r="J27" s="14">
        <v>100</v>
      </c>
      <c r="K27" s="180">
        <v>4.16</v>
      </c>
      <c r="L27" s="14">
        <v>100</v>
      </c>
      <c r="M27" s="180">
        <v>4.13</v>
      </c>
      <c r="N27" s="14">
        <v>100</v>
      </c>
      <c r="O27" s="180">
        <v>4.05</v>
      </c>
      <c r="P27" s="14">
        <v>100</v>
      </c>
      <c r="Q27" s="193">
        <v>3.32</v>
      </c>
      <c r="R27" s="193" t="s">
        <v>41</v>
      </c>
      <c r="S27" s="193">
        <v>6.34</v>
      </c>
      <c r="T27" s="14">
        <v>100</v>
      </c>
      <c r="U27" s="226">
        <v>3.68</v>
      </c>
      <c r="V27" s="14">
        <v>100</v>
      </c>
      <c r="W27" s="224">
        <v>4.0199999999999996</v>
      </c>
      <c r="X27" s="14">
        <v>100</v>
      </c>
      <c r="Y27" s="290"/>
      <c r="AD27" s="19"/>
    </row>
    <row r="28" spans="2:32" ht="37.5" x14ac:dyDescent="0.3">
      <c r="B28" s="360" t="s">
        <v>67</v>
      </c>
      <c r="C28" s="306" t="s">
        <v>66</v>
      </c>
      <c r="D28" s="336">
        <f>8/9</f>
        <v>0.88888888888888884</v>
      </c>
      <c r="E28" s="313">
        <v>73</v>
      </c>
      <c r="F28" s="153"/>
      <c r="G28" s="179">
        <v>0.84</v>
      </c>
      <c r="H28" s="14">
        <v>100</v>
      </c>
      <c r="I28" s="180">
        <v>0.82</v>
      </c>
      <c r="J28" s="14">
        <v>100</v>
      </c>
      <c r="K28" s="180">
        <v>0.92</v>
      </c>
      <c r="L28" s="14">
        <v>100</v>
      </c>
      <c r="M28" s="180">
        <v>0.81</v>
      </c>
      <c r="N28" s="14">
        <v>100</v>
      </c>
      <c r="O28" s="180">
        <v>0.83</v>
      </c>
      <c r="P28" s="14">
        <v>100</v>
      </c>
      <c r="Q28" s="193">
        <v>0.73</v>
      </c>
      <c r="R28" s="14">
        <v>100</v>
      </c>
      <c r="S28" s="193">
        <v>0.92</v>
      </c>
      <c r="T28" s="14">
        <v>100</v>
      </c>
      <c r="U28" s="226">
        <v>0.81</v>
      </c>
      <c r="V28" s="14">
        <v>100</v>
      </c>
      <c r="W28" s="224">
        <v>0.89</v>
      </c>
      <c r="X28" s="14">
        <v>30</v>
      </c>
      <c r="Y28" s="290"/>
      <c r="AD28" s="19"/>
    </row>
    <row r="29" spans="2:32" ht="20.25" customHeight="1" x14ac:dyDescent="0.3">
      <c r="B29" s="71" t="s">
        <v>68</v>
      </c>
      <c r="C29" s="413"/>
      <c r="D29" s="366" t="s">
        <v>69</v>
      </c>
      <c r="E29" s="69"/>
      <c r="F29" s="69"/>
      <c r="G29" s="69"/>
      <c r="H29" s="175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290"/>
    </row>
    <row r="30" spans="2:32" ht="20.25" customHeight="1" x14ac:dyDescent="0.3">
      <c r="B30" s="13" t="s">
        <v>70</v>
      </c>
      <c r="C30" s="382">
        <v>761.5</v>
      </c>
      <c r="D30" s="322" t="s">
        <v>73</v>
      </c>
      <c r="E30" s="14">
        <v>100</v>
      </c>
      <c r="F30" s="108"/>
      <c r="G30" s="187" t="s">
        <v>113</v>
      </c>
      <c r="H30" s="396">
        <v>100</v>
      </c>
      <c r="I30" s="195" t="s">
        <v>113</v>
      </c>
      <c r="J30" s="398">
        <v>100</v>
      </c>
      <c r="K30" s="195" t="s">
        <v>113</v>
      </c>
      <c r="L30" s="398">
        <v>100</v>
      </c>
      <c r="M30" s="195" t="s">
        <v>113</v>
      </c>
      <c r="N30" s="398">
        <v>100</v>
      </c>
      <c r="O30" s="195" t="s">
        <v>113</v>
      </c>
      <c r="P30" s="398">
        <v>100</v>
      </c>
      <c r="Q30" s="195" t="s">
        <v>113</v>
      </c>
      <c r="R30" s="398">
        <v>100</v>
      </c>
      <c r="S30" s="195" t="s">
        <v>41</v>
      </c>
      <c r="T30" s="398">
        <v>100</v>
      </c>
      <c r="U30" s="195" t="s">
        <v>113</v>
      </c>
      <c r="V30" s="398">
        <v>100</v>
      </c>
      <c r="W30" s="195" t="s">
        <v>113</v>
      </c>
      <c r="X30" s="398">
        <v>100</v>
      </c>
    </row>
    <row r="31" spans="2:32" ht="20.25" customHeight="1" x14ac:dyDescent="0.3">
      <c r="B31" s="360" t="s">
        <v>78</v>
      </c>
      <c r="C31" s="377"/>
      <c r="D31" s="323">
        <v>0.129</v>
      </c>
      <c r="E31" s="14">
        <v>100</v>
      </c>
      <c r="F31" s="152"/>
      <c r="G31" s="187" t="s">
        <v>113</v>
      </c>
      <c r="H31" s="396">
        <v>100</v>
      </c>
      <c r="I31" s="195" t="s">
        <v>113</v>
      </c>
      <c r="J31" s="398">
        <v>100</v>
      </c>
      <c r="K31" s="195" t="s">
        <v>113</v>
      </c>
      <c r="L31" s="398">
        <v>100</v>
      </c>
      <c r="M31" s="195" t="s">
        <v>113</v>
      </c>
      <c r="N31" s="398">
        <v>100</v>
      </c>
      <c r="O31" s="195" t="s">
        <v>113</v>
      </c>
      <c r="P31" s="398">
        <v>100</v>
      </c>
      <c r="Q31" s="195" t="s">
        <v>113</v>
      </c>
      <c r="R31" s="398">
        <v>100</v>
      </c>
      <c r="S31" s="199" t="s">
        <v>41</v>
      </c>
      <c r="T31" s="398">
        <v>100</v>
      </c>
      <c r="U31" s="195" t="s">
        <v>113</v>
      </c>
      <c r="V31" s="398">
        <v>100</v>
      </c>
      <c r="W31" s="195" t="s">
        <v>113</v>
      </c>
      <c r="X31" s="398">
        <v>100</v>
      </c>
    </row>
    <row r="32" spans="2:32" ht="20.25" customHeight="1" x14ac:dyDescent="0.3">
      <c r="B32" s="64" t="s">
        <v>80</v>
      </c>
      <c r="C32" s="414"/>
      <c r="D32" s="365" t="s">
        <v>81</v>
      </c>
      <c r="E32" s="63"/>
      <c r="F32" s="63"/>
      <c r="G32" s="63"/>
      <c r="H32" s="397"/>
      <c r="I32" s="63"/>
      <c r="J32" s="399"/>
      <c r="K32" s="63"/>
      <c r="L32" s="399"/>
      <c r="M32" s="63"/>
      <c r="N32" s="399"/>
      <c r="O32" s="63"/>
      <c r="P32" s="399"/>
      <c r="Q32" s="63"/>
      <c r="R32" s="399"/>
      <c r="S32" s="63"/>
      <c r="T32" s="399"/>
      <c r="U32" s="63"/>
      <c r="V32" s="399"/>
      <c r="W32" s="63"/>
      <c r="X32" s="399"/>
    </row>
    <row r="33" spans="2:24" ht="20.25" customHeight="1" x14ac:dyDescent="0.3">
      <c r="B33" s="13" t="s">
        <v>82</v>
      </c>
      <c r="C33" s="385">
        <v>0.80900000000000005</v>
      </c>
      <c r="D33" s="323">
        <v>0.84299999999999997</v>
      </c>
      <c r="E33" s="14">
        <v>100</v>
      </c>
      <c r="F33" s="109"/>
      <c r="G33" s="198" t="s">
        <v>113</v>
      </c>
      <c r="H33" s="396">
        <v>100</v>
      </c>
      <c r="I33" s="199" t="s">
        <v>113</v>
      </c>
      <c r="J33" s="398">
        <v>100</v>
      </c>
      <c r="K33" s="199" t="s">
        <v>113</v>
      </c>
      <c r="L33" s="398">
        <v>100</v>
      </c>
      <c r="M33" s="200" t="s">
        <v>113</v>
      </c>
      <c r="N33" s="398">
        <v>100</v>
      </c>
      <c r="O33" s="199" t="s">
        <v>113</v>
      </c>
      <c r="P33" s="398">
        <v>100</v>
      </c>
      <c r="Q33" s="199" t="s">
        <v>113</v>
      </c>
      <c r="R33" s="398">
        <v>100</v>
      </c>
      <c r="S33" s="199" t="s">
        <v>113</v>
      </c>
      <c r="T33" s="398">
        <v>100</v>
      </c>
      <c r="U33" s="199" t="s">
        <v>113</v>
      </c>
      <c r="V33" s="398">
        <v>100</v>
      </c>
      <c r="W33" s="202" t="s">
        <v>113</v>
      </c>
      <c r="X33" s="398">
        <v>100</v>
      </c>
    </row>
    <row r="34" spans="2:24" ht="20.25" customHeight="1" x14ac:dyDescent="0.3">
      <c r="B34" s="363" t="s">
        <v>84</v>
      </c>
      <c r="C34" s="363"/>
      <c r="D34" s="387">
        <f>IFERROR(COUNTIF(E10:E33,"&gt;=74")/COUNTIFS(E10:E33,"&gt;0",E10:E33,"&lt;&gt;N/A"),0)</f>
        <v>0.57894736842105265</v>
      </c>
      <c r="E34" s="363"/>
      <c r="F34" s="363"/>
      <c r="G34" s="387">
        <f>IFERROR(COUNTIF(H10:H33,"&gt;=74")/COUNTIFS(H10:H33,"&gt;0",H10:H33,"&lt;&gt;N/A"),0)</f>
        <v>0.68421052631578949</v>
      </c>
      <c r="H34" s="363"/>
      <c r="I34" s="387">
        <f>IFERROR(COUNTIF(J10:J33,"&gt;=74")/COUNTIFS(J10:J33,"&gt;0",J10:J33,"&lt;&gt;N/A"),0)</f>
        <v>0.68421052631578949</v>
      </c>
      <c r="J34" s="363"/>
      <c r="K34" s="387">
        <f>IFERROR(COUNTIF(L10:L33,"&gt;=74")/COUNTIFS(L10:L33,"&gt;0",L10:L33,"&lt;&gt;N/A"),0)</f>
        <v>0.78947368421052633</v>
      </c>
      <c r="L34" s="363"/>
      <c r="M34" s="387">
        <f>IFERROR(COUNTIF(N10:N33,"&gt;=74")/COUNTIFS(N10:N33,"&gt;0",N10:N33,"&lt;&gt;N/A"),0)</f>
        <v>0.68421052631578949</v>
      </c>
      <c r="N34" s="363"/>
      <c r="O34" s="387">
        <f>IFERROR(COUNTIF(P10:P33,"&gt;=74")/COUNTIFS(P10:P33,"&gt;0",P10:P33,"&lt;&gt;N/A"),0)</f>
        <v>0.63157894736842102</v>
      </c>
      <c r="P34" s="363"/>
      <c r="Q34" s="387">
        <f>IFERROR(COUNTIF(R10:R33,"&gt;=74")/COUNTIFS(R10:R33,"&gt;0",R10:R33,"&lt;&gt;N/A"),0)</f>
        <v>0.8</v>
      </c>
      <c r="R34" s="363"/>
      <c r="S34" s="387">
        <f>IFERROR(COUNTIF(T10:T33,"&gt;=74")/COUNTIFS(T10:T33,"&gt;0",T10:T33,"&lt;&gt;N/A"),0)</f>
        <v>0.63157894736842102</v>
      </c>
      <c r="T34" s="363"/>
      <c r="U34" s="387">
        <f>IFERROR(COUNTIF(V10:V33,"&gt;=74")/COUNTIFS(V10:V33,"&gt;0",V10:V33,"&lt;&gt;N/A"),0)</f>
        <v>0.78947368421052633</v>
      </c>
      <c r="V34" s="363"/>
      <c r="W34" s="387">
        <f>IFERROR(COUNTIF(X10:X33,"&gt;=74")/COUNTIFS(X10:X33,"&gt;0",X10:X33,"&lt;&gt;N/A"),0)</f>
        <v>0.73684210526315785</v>
      </c>
      <c r="X34" s="363"/>
    </row>
    <row r="35" spans="2:24" ht="26.25" customHeight="1" x14ac:dyDescent="0.3">
      <c r="B35" s="363" t="s">
        <v>122</v>
      </c>
      <c r="C35" s="363"/>
      <c r="D35" s="387"/>
      <c r="E35" s="363"/>
      <c r="F35" s="363"/>
      <c r="G35" s="463" t="s">
        <v>123</v>
      </c>
      <c r="H35" s="463"/>
      <c r="I35" s="464" t="s">
        <v>124</v>
      </c>
      <c r="J35" s="464"/>
      <c r="K35" s="463" t="s">
        <v>125</v>
      </c>
      <c r="L35" s="463"/>
      <c r="M35" s="464" t="s">
        <v>126</v>
      </c>
      <c r="N35" s="464"/>
      <c r="O35" s="464" t="s">
        <v>127</v>
      </c>
      <c r="P35" s="464"/>
      <c r="Q35" s="464" t="s">
        <v>128</v>
      </c>
      <c r="R35" s="464"/>
      <c r="S35" s="464" t="s">
        <v>129</v>
      </c>
      <c r="T35" s="464"/>
      <c r="U35" s="463" t="s">
        <v>130</v>
      </c>
      <c r="V35" s="463"/>
      <c r="W35" s="464" t="s">
        <v>131</v>
      </c>
      <c r="X35" s="464"/>
    </row>
    <row r="36" spans="2:24" ht="19.5" customHeight="1" x14ac:dyDescent="0.3">
      <c r="B36" s="363" t="s">
        <v>132</v>
      </c>
      <c r="C36" s="363"/>
      <c r="D36" s="387"/>
      <c r="E36" s="363"/>
      <c r="F36" s="363"/>
      <c r="G36" s="461">
        <v>44927</v>
      </c>
      <c r="H36" s="461"/>
      <c r="I36" s="461">
        <v>45907</v>
      </c>
      <c r="J36" s="461"/>
      <c r="K36" s="461">
        <v>46047</v>
      </c>
      <c r="L36" s="461"/>
      <c r="M36" s="461">
        <v>46131</v>
      </c>
      <c r="N36" s="461"/>
      <c r="O36" s="461">
        <v>45865</v>
      </c>
      <c r="P36" s="461"/>
      <c r="Q36" s="461">
        <v>45543</v>
      </c>
      <c r="R36" s="461"/>
      <c r="S36" s="461">
        <v>45865</v>
      </c>
      <c r="T36" s="461"/>
      <c r="U36" s="462">
        <v>45865</v>
      </c>
      <c r="V36" s="462"/>
      <c r="W36" s="461">
        <v>45865</v>
      </c>
      <c r="X36" s="461"/>
    </row>
    <row r="37" spans="2:24" x14ac:dyDescent="0.3">
      <c r="H37"/>
    </row>
    <row r="38" spans="2:24" x14ac:dyDescent="0.3">
      <c r="C38" s="415"/>
    </row>
    <row r="39" spans="2:24" x14ac:dyDescent="0.3">
      <c r="C39" s="415"/>
    </row>
  </sheetData>
  <mergeCells count="32">
    <mergeCell ref="D9:X9"/>
    <mergeCell ref="B1:G1"/>
    <mergeCell ref="E4:F4"/>
    <mergeCell ref="G5:X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Q35:R35"/>
    <mergeCell ref="S35:T35"/>
    <mergeCell ref="U35:V35"/>
    <mergeCell ref="W35:X35"/>
    <mergeCell ref="Y18:AF18"/>
    <mergeCell ref="G35:H35"/>
    <mergeCell ref="I35:J35"/>
    <mergeCell ref="K35:L35"/>
    <mergeCell ref="M35:N35"/>
    <mergeCell ref="O35:P35"/>
    <mergeCell ref="Q36:R36"/>
    <mergeCell ref="S36:T36"/>
    <mergeCell ref="U36:V36"/>
    <mergeCell ref="W36:X36"/>
    <mergeCell ref="G36:H36"/>
    <mergeCell ref="I36:J36"/>
    <mergeCell ref="K36:L36"/>
    <mergeCell ref="M36:N36"/>
    <mergeCell ref="O36:P36"/>
  </mergeCells>
  <conditionalFormatting sqref="E10">
    <cfRule type="iconSet" priority="294">
      <iconSet showValue="0">
        <cfvo type="percent" val="0"/>
        <cfvo type="num" val="69"/>
        <cfvo type="num" val="78"/>
      </iconSet>
    </cfRule>
    <cfRule type="iconSet" priority="295">
      <iconSet showValue="0">
        <cfvo type="percent" val="0"/>
        <cfvo type="num" val="69"/>
        <cfvo type="num" val="78"/>
      </iconSet>
    </cfRule>
  </conditionalFormatting>
  <conditionalFormatting sqref="E11">
    <cfRule type="iconSet" priority="292">
      <iconSet showValue="0">
        <cfvo type="percent" val="0"/>
        <cfvo type="num" val="69"/>
        <cfvo type="num" val="78"/>
      </iconSet>
    </cfRule>
    <cfRule type="iconSet" priority="293">
      <iconSet showValue="0">
        <cfvo type="percent" val="0"/>
        <cfvo type="num" val="69"/>
        <cfvo type="num" val="78"/>
      </iconSet>
    </cfRule>
  </conditionalFormatting>
  <conditionalFormatting sqref="E12">
    <cfRule type="iconSet" priority="290">
      <iconSet showValue="0">
        <cfvo type="percent" val="0"/>
        <cfvo type="num" val="69"/>
        <cfvo type="num" val="78"/>
      </iconSet>
    </cfRule>
    <cfRule type="iconSet" priority="291">
      <iconSet showValue="0">
        <cfvo type="percent" val="0"/>
        <cfvo type="num" val="69"/>
        <cfvo type="num" val="78"/>
      </iconSet>
    </cfRule>
  </conditionalFormatting>
  <conditionalFormatting sqref="E14">
    <cfRule type="iconSet" priority="37">
      <iconSet showValue="0">
        <cfvo type="percent" val="0"/>
        <cfvo type="num" val="50"/>
        <cfvo type="num" val="50"/>
      </iconSet>
    </cfRule>
  </conditionalFormatting>
  <conditionalFormatting sqref="E15">
    <cfRule type="iconSet" priority="289">
      <iconSet showValue="0">
        <cfvo type="percent" val="0"/>
        <cfvo type="num" val="69"/>
        <cfvo type="num" val="78"/>
      </iconSet>
    </cfRule>
    <cfRule type="iconSet" priority="288">
      <iconSet showValue="0">
        <cfvo type="percent" val="0"/>
        <cfvo type="num" val="69"/>
        <cfvo type="num" val="78"/>
      </iconSet>
    </cfRule>
  </conditionalFormatting>
  <conditionalFormatting sqref="E16">
    <cfRule type="iconSet" priority="5">
      <iconSet showValue="0">
        <cfvo type="percent" val="0"/>
        <cfvo type="num" val="69"/>
        <cfvo type="num" val="78"/>
      </iconSet>
    </cfRule>
    <cfRule type="iconSet" priority="6">
      <iconSet showValue="0">
        <cfvo type="percent" val="0"/>
        <cfvo type="num" val="69"/>
        <cfvo type="num" val="78"/>
      </iconSet>
    </cfRule>
  </conditionalFormatting>
  <conditionalFormatting sqref="E17">
    <cfRule type="iconSet" priority="287">
      <iconSet showValue="0">
        <cfvo type="percent" val="0"/>
        <cfvo type="num" val="69"/>
        <cfvo type="num" val="78"/>
      </iconSet>
    </cfRule>
    <cfRule type="iconSet" priority="286">
      <iconSet showValue="0">
        <cfvo type="percent" val="0"/>
        <cfvo type="num" val="69"/>
        <cfvo type="num" val="78"/>
      </iconSet>
    </cfRule>
  </conditionalFormatting>
  <conditionalFormatting sqref="E19">
    <cfRule type="iconSet" priority="277">
      <iconSet showValue="0">
        <cfvo type="percent" val="0"/>
        <cfvo type="num" val="70"/>
        <cfvo type="num" val="75"/>
      </iconSet>
    </cfRule>
  </conditionalFormatting>
  <conditionalFormatting sqref="E20">
    <cfRule type="iconSet" priority="276">
      <iconSet showValue="0">
        <cfvo type="percent" val="0"/>
        <cfvo type="num" val="70"/>
        <cfvo type="num" val="75"/>
      </iconSet>
    </cfRule>
  </conditionalFormatting>
  <conditionalFormatting sqref="E21">
    <cfRule type="iconSet" priority="284">
      <iconSet showValue="0">
        <cfvo type="percent" val="0"/>
        <cfvo type="num" val="69"/>
        <cfvo type="num" val="78"/>
      </iconSet>
    </cfRule>
    <cfRule type="iconSet" priority="285">
      <iconSet showValue="0">
        <cfvo type="percent" val="0"/>
        <cfvo type="num" val="69"/>
        <cfvo type="num" val="78"/>
      </iconSet>
    </cfRule>
  </conditionalFormatting>
  <conditionalFormatting sqref="E22">
    <cfRule type="iconSet" priority="275">
      <iconSet showValue="0">
        <cfvo type="percent" val="0"/>
        <cfvo type="num" val="70"/>
        <cfvo type="num" val="75"/>
      </iconSet>
    </cfRule>
  </conditionalFormatting>
  <conditionalFormatting sqref="E24">
    <cfRule type="iconSet" priority="116">
      <iconSet showValue="0">
        <cfvo type="percent" val="0"/>
        <cfvo type="num" val="50"/>
        <cfvo type="num" val="50"/>
      </iconSet>
    </cfRule>
  </conditionalFormatting>
  <conditionalFormatting sqref="E25:E28">
    <cfRule type="iconSet" priority="274">
      <iconSet showValue="0">
        <cfvo type="percent" val="0"/>
        <cfvo type="num" val="70"/>
        <cfvo type="num" val="75"/>
      </iconSet>
    </cfRule>
  </conditionalFormatting>
  <conditionalFormatting sqref="E30:E31">
    <cfRule type="iconSet" priority="280">
      <iconSet showValue="0">
        <cfvo type="percent" val="0"/>
        <cfvo type="num" val="69"/>
        <cfvo type="num" val="78"/>
      </iconSet>
    </cfRule>
    <cfRule type="iconSet" priority="281">
      <iconSet showValue="0">
        <cfvo type="percent" val="0"/>
        <cfvo type="num" val="69"/>
        <cfvo type="num" val="78"/>
      </iconSet>
    </cfRule>
  </conditionalFormatting>
  <conditionalFormatting sqref="E33">
    <cfRule type="iconSet" priority="279">
      <iconSet showValue="0">
        <cfvo type="percent" val="0"/>
        <cfvo type="num" val="69"/>
        <cfvo type="num" val="78"/>
      </iconSet>
    </cfRule>
    <cfRule type="iconSet" priority="278">
      <iconSet showValue="0">
        <cfvo type="percent" val="0"/>
        <cfvo type="num" val="69"/>
        <cfvo type="num" val="78"/>
      </iconSet>
    </cfRule>
  </conditionalFormatting>
  <conditionalFormatting sqref="F7">
    <cfRule type="iconSet" priority="317">
      <iconSet showValue="0">
        <cfvo type="percent" val="0"/>
        <cfvo type="num" val="69"/>
        <cfvo type="num" val="78"/>
      </iconSet>
    </cfRule>
    <cfRule type="iconSet" priority="316">
      <iconSet showValue="0">
        <cfvo type="percent" val="0"/>
        <cfvo type="num" val="69"/>
        <cfvo type="num" val="78"/>
      </iconSet>
    </cfRule>
  </conditionalFormatting>
  <conditionalFormatting sqref="F8">
    <cfRule type="iconSet" priority="315">
      <iconSet showValue="0">
        <cfvo type="percent" val="0"/>
        <cfvo type="num" val="50"/>
        <cfvo type="num" val="100"/>
      </iconSet>
    </cfRule>
  </conditionalFormatting>
  <conditionalFormatting sqref="H10">
    <cfRule type="iconSet" priority="905">
      <iconSet showValue="0">
        <cfvo type="percent" val="0"/>
        <cfvo type="num" val="69"/>
        <cfvo type="num" val="78"/>
      </iconSet>
    </cfRule>
    <cfRule type="iconSet" priority="904">
      <iconSet showValue="0">
        <cfvo type="percent" val="0"/>
        <cfvo type="num" val="69"/>
        <cfvo type="num" val="78"/>
      </iconSet>
    </cfRule>
  </conditionalFormatting>
  <conditionalFormatting sqref="H11:H12">
    <cfRule type="iconSet" priority="114">
      <iconSet showValue="0">
        <cfvo type="percent" val="0"/>
        <cfvo type="num" val="69"/>
        <cfvo type="num" val="78"/>
      </iconSet>
    </cfRule>
    <cfRule type="iconSet" priority="115">
      <iconSet showValue="0">
        <cfvo type="percent" val="0"/>
        <cfvo type="num" val="69"/>
        <cfvo type="num" val="78"/>
      </iconSet>
    </cfRule>
  </conditionalFormatting>
  <conditionalFormatting sqref="H14:H15">
    <cfRule type="iconSet" priority="906">
      <iconSet showValue="0">
        <cfvo type="percent" val="0"/>
        <cfvo type="num" val="69"/>
        <cfvo type="num" val="78"/>
      </iconSet>
    </cfRule>
    <cfRule type="iconSet" priority="907">
      <iconSet showValue="0">
        <cfvo type="percent" val="0"/>
        <cfvo type="num" val="69"/>
        <cfvo type="num" val="78"/>
      </iconSet>
    </cfRule>
  </conditionalFormatting>
  <conditionalFormatting sqref="H16">
    <cfRule type="iconSet" priority="21">
      <iconSet showValue="0">
        <cfvo type="percent" val="0"/>
        <cfvo type="num" val="69"/>
        <cfvo type="num" val="78"/>
      </iconSet>
    </cfRule>
    <cfRule type="iconSet" priority="22">
      <iconSet showValue="0">
        <cfvo type="percent" val="0"/>
        <cfvo type="num" val="69"/>
        <cfvo type="num" val="78"/>
      </iconSet>
    </cfRule>
  </conditionalFormatting>
  <conditionalFormatting sqref="H17">
    <cfRule type="iconSet" priority="253">
      <iconSet showValue="0">
        <cfvo type="percent" val="0"/>
        <cfvo type="num" val="69"/>
        <cfvo type="num" val="78"/>
      </iconSet>
    </cfRule>
    <cfRule type="iconSet" priority="252">
      <iconSet showValue="0">
        <cfvo type="percent" val="0"/>
        <cfvo type="num" val="69"/>
        <cfvo type="num" val="78"/>
      </iconSet>
    </cfRule>
  </conditionalFormatting>
  <conditionalFormatting sqref="H19">
    <cfRule type="iconSet" priority="237">
      <iconSet showValue="0">
        <cfvo type="percent" val="0"/>
        <cfvo type="num" val="70"/>
        <cfvo type="num" val="75"/>
      </iconSet>
    </cfRule>
  </conditionalFormatting>
  <conditionalFormatting sqref="H20">
    <cfRule type="iconSet" priority="32">
      <iconSet showValue="0">
        <cfvo type="percent" val="0"/>
        <cfvo type="num" val="50"/>
        <cfvo type="num" val="50"/>
      </iconSet>
    </cfRule>
  </conditionalFormatting>
  <conditionalFormatting sqref="H21">
    <cfRule type="iconSet" priority="235">
      <iconSet showValue="0">
        <cfvo type="percent" val="0"/>
        <cfvo type="num" val="69"/>
        <cfvo type="num" val="78"/>
      </iconSet>
    </cfRule>
    <cfRule type="iconSet" priority="234">
      <iconSet showValue="0">
        <cfvo type="percent" val="0"/>
        <cfvo type="num" val="69"/>
        <cfvo type="num" val="78"/>
      </iconSet>
    </cfRule>
  </conditionalFormatting>
  <conditionalFormatting sqref="H22">
    <cfRule type="iconSet" priority="233">
      <iconSet showValue="0">
        <cfvo type="percent" val="0"/>
        <cfvo type="num" val="70"/>
        <cfvo type="num" val="75"/>
      </iconSet>
    </cfRule>
  </conditionalFormatting>
  <conditionalFormatting sqref="H24:H25">
    <cfRule type="iconSet" priority="183">
      <iconSet showValue="0">
        <cfvo type="percent" val="0"/>
        <cfvo type="num" val="50"/>
        <cfvo type="num" val="50"/>
      </iconSet>
    </cfRule>
  </conditionalFormatting>
  <conditionalFormatting sqref="H26:H28">
    <cfRule type="iconSet" priority="139">
      <iconSet showValue="0">
        <cfvo type="percent" val="0"/>
        <cfvo type="num" val="69"/>
        <cfvo type="num" val="78"/>
      </iconSet>
    </cfRule>
    <cfRule type="iconSet" priority="140">
      <iconSet showValue="0">
        <cfvo type="percent" val="0"/>
        <cfvo type="num" val="69"/>
        <cfvo type="num" val="78"/>
      </iconSet>
    </cfRule>
  </conditionalFormatting>
  <conditionalFormatting sqref="J10">
    <cfRule type="iconSet" priority="82">
      <iconSet showValue="0">
        <cfvo type="percent" val="0"/>
        <cfvo type="num" val="69"/>
        <cfvo type="num" val="78"/>
      </iconSet>
    </cfRule>
    <cfRule type="iconSet" priority="83">
      <iconSet showValue="0">
        <cfvo type="percent" val="0"/>
        <cfvo type="num" val="69"/>
        <cfvo type="num" val="78"/>
      </iconSet>
    </cfRule>
  </conditionalFormatting>
  <conditionalFormatting sqref="J11">
    <cfRule type="iconSet" priority="113">
      <iconSet showValue="0">
        <cfvo type="percent" val="0"/>
        <cfvo type="num" val="69"/>
        <cfvo type="num" val="78"/>
      </iconSet>
    </cfRule>
    <cfRule type="iconSet" priority="112">
      <iconSet showValue="0">
        <cfvo type="percent" val="0"/>
        <cfvo type="num" val="69"/>
        <cfvo type="num" val="78"/>
      </iconSet>
    </cfRule>
  </conditionalFormatting>
  <conditionalFormatting sqref="J12">
    <cfRule type="iconSet" priority="111">
      <iconSet showValue="0">
        <cfvo type="percent" val="0"/>
        <cfvo type="num" val="69"/>
        <cfvo type="num" val="78"/>
      </iconSet>
    </cfRule>
    <cfRule type="iconSet" priority="110">
      <iconSet showValue="0">
        <cfvo type="percent" val="0"/>
        <cfvo type="num" val="69"/>
        <cfvo type="num" val="78"/>
      </iconSet>
    </cfRule>
  </conditionalFormatting>
  <conditionalFormatting sqref="J14">
    <cfRule type="iconSet" priority="66">
      <iconSet showValue="0">
        <cfvo type="percent" val="0"/>
        <cfvo type="num" val="50"/>
        <cfvo type="num" val="50"/>
      </iconSet>
    </cfRule>
  </conditionalFormatting>
  <conditionalFormatting sqref="J15">
    <cfRule type="iconSet" priority="903">
      <iconSet showValue="0">
        <cfvo type="percent" val="0"/>
        <cfvo type="num" val="69"/>
        <cfvo type="num" val="78"/>
      </iconSet>
    </cfRule>
    <cfRule type="iconSet" priority="902">
      <iconSet showValue="0">
        <cfvo type="percent" val="0"/>
        <cfvo type="num" val="69"/>
        <cfvo type="num" val="78"/>
      </iconSet>
    </cfRule>
  </conditionalFormatting>
  <conditionalFormatting sqref="J16">
    <cfRule type="iconSet" priority="15">
      <iconSet showValue="0">
        <cfvo type="percent" val="0"/>
        <cfvo type="num" val="69"/>
        <cfvo type="num" val="78"/>
      </iconSet>
    </cfRule>
    <cfRule type="iconSet" priority="16">
      <iconSet showValue="0">
        <cfvo type="percent" val="0"/>
        <cfvo type="num" val="69"/>
        <cfvo type="num" val="78"/>
      </iconSet>
    </cfRule>
  </conditionalFormatting>
  <conditionalFormatting sqref="J17">
    <cfRule type="iconSet" priority="250">
      <iconSet showValue="0">
        <cfvo type="percent" val="0"/>
        <cfvo type="num" val="69"/>
        <cfvo type="num" val="78"/>
      </iconSet>
    </cfRule>
    <cfRule type="iconSet" priority="251">
      <iconSet showValue="0">
        <cfvo type="percent" val="0"/>
        <cfvo type="num" val="69"/>
        <cfvo type="num" val="78"/>
      </iconSet>
    </cfRule>
  </conditionalFormatting>
  <conditionalFormatting sqref="J19">
    <cfRule type="iconSet" priority="232">
      <iconSet showValue="0">
        <cfvo type="percent" val="0"/>
        <cfvo type="num" val="70"/>
        <cfvo type="num" val="75"/>
      </iconSet>
    </cfRule>
  </conditionalFormatting>
  <conditionalFormatting sqref="J20">
    <cfRule type="iconSet" priority="231">
      <iconSet showValue="0">
        <cfvo type="percent" val="0"/>
        <cfvo type="num" val="69"/>
        <cfvo type="num" val="78"/>
      </iconSet>
    </cfRule>
    <cfRule type="iconSet" priority="230">
      <iconSet showValue="0">
        <cfvo type="percent" val="0"/>
        <cfvo type="num" val="69"/>
        <cfvo type="num" val="78"/>
      </iconSet>
    </cfRule>
  </conditionalFormatting>
  <conditionalFormatting sqref="J21:J22">
    <cfRule type="iconSet" priority="227">
      <iconSet showValue="0">
        <cfvo type="percent" val="0"/>
        <cfvo type="num" val="70"/>
        <cfvo type="num" val="75"/>
      </iconSet>
    </cfRule>
  </conditionalFormatting>
  <conditionalFormatting sqref="J24">
    <cfRule type="iconSet" priority="182">
      <iconSet showValue="0">
        <cfvo type="percent" val="0"/>
        <cfvo type="num" val="50"/>
        <cfvo type="num" val="50"/>
      </iconSet>
    </cfRule>
  </conditionalFormatting>
  <conditionalFormatting sqref="J25">
    <cfRule type="iconSet" priority="158">
      <iconSet showValue="0">
        <cfvo type="percent" val="0"/>
        <cfvo type="num" val="69"/>
        <cfvo type="num" val="78"/>
      </iconSet>
    </cfRule>
    <cfRule type="iconSet" priority="159">
      <iconSet showValue="0">
        <cfvo type="percent" val="0"/>
        <cfvo type="num" val="69"/>
        <cfvo type="num" val="78"/>
      </iconSet>
    </cfRule>
  </conditionalFormatting>
  <conditionalFormatting sqref="J26">
    <cfRule type="iconSet" priority="137">
      <iconSet showValue="0">
        <cfvo type="percent" val="0"/>
        <cfvo type="num" val="69"/>
        <cfvo type="num" val="78"/>
      </iconSet>
    </cfRule>
    <cfRule type="iconSet" priority="138">
      <iconSet showValue="0">
        <cfvo type="percent" val="0"/>
        <cfvo type="num" val="69"/>
        <cfvo type="num" val="78"/>
      </iconSet>
    </cfRule>
  </conditionalFormatting>
  <conditionalFormatting sqref="J27">
    <cfRule type="iconSet" priority="56">
      <iconSet showValue="0">
        <cfvo type="percent" val="0"/>
        <cfvo type="num" val="69"/>
        <cfvo type="num" val="78"/>
      </iconSet>
    </cfRule>
    <cfRule type="iconSet" priority="57">
      <iconSet showValue="0">
        <cfvo type="percent" val="0"/>
        <cfvo type="num" val="69"/>
        <cfvo type="num" val="78"/>
      </iconSet>
    </cfRule>
  </conditionalFormatting>
  <conditionalFormatting sqref="J28">
    <cfRule type="iconSet" priority="51">
      <iconSet showValue="0">
        <cfvo type="percent" val="0"/>
        <cfvo type="num" val="69"/>
        <cfvo type="num" val="78"/>
      </iconSet>
    </cfRule>
    <cfRule type="iconSet" priority="50">
      <iconSet showValue="0">
        <cfvo type="percent" val="0"/>
        <cfvo type="num" val="69"/>
        <cfvo type="num" val="78"/>
      </iconSet>
    </cfRule>
  </conditionalFormatting>
  <conditionalFormatting sqref="L10">
    <cfRule type="iconSet" priority="81">
      <iconSet showValue="0">
        <cfvo type="percent" val="0"/>
        <cfvo type="num" val="69"/>
        <cfvo type="num" val="78"/>
      </iconSet>
    </cfRule>
    <cfRule type="iconSet" priority="80">
      <iconSet showValue="0">
        <cfvo type="percent" val="0"/>
        <cfvo type="num" val="69"/>
        <cfvo type="num" val="78"/>
      </iconSet>
    </cfRule>
  </conditionalFormatting>
  <conditionalFormatting sqref="L11">
    <cfRule type="iconSet" priority="108">
      <iconSet showValue="0">
        <cfvo type="percent" val="0"/>
        <cfvo type="num" val="69"/>
        <cfvo type="num" val="78"/>
      </iconSet>
    </cfRule>
    <cfRule type="iconSet" priority="109">
      <iconSet showValue="0">
        <cfvo type="percent" val="0"/>
        <cfvo type="num" val="69"/>
        <cfvo type="num" val="78"/>
      </iconSet>
    </cfRule>
  </conditionalFormatting>
  <conditionalFormatting sqref="L12">
    <cfRule type="iconSet" priority="106">
      <iconSet showValue="0">
        <cfvo type="percent" val="0"/>
        <cfvo type="num" val="69"/>
        <cfvo type="num" val="78"/>
      </iconSet>
    </cfRule>
    <cfRule type="iconSet" priority="107">
      <iconSet showValue="0">
        <cfvo type="percent" val="0"/>
        <cfvo type="num" val="69"/>
        <cfvo type="num" val="78"/>
      </iconSet>
    </cfRule>
  </conditionalFormatting>
  <conditionalFormatting sqref="L14:L15">
    <cfRule type="iconSet" priority="852">
      <iconSet showValue="0">
        <cfvo type="percent" val="0"/>
        <cfvo type="num" val="69"/>
        <cfvo type="num" val="78"/>
      </iconSet>
    </cfRule>
    <cfRule type="iconSet" priority="853">
      <iconSet showValue="0">
        <cfvo type="percent" val="0"/>
        <cfvo type="num" val="69"/>
        <cfvo type="num" val="78"/>
      </iconSet>
    </cfRule>
  </conditionalFormatting>
  <conditionalFormatting sqref="L16">
    <cfRule type="iconSet" priority="14">
      <iconSet showValue="0">
        <cfvo type="percent" val="0"/>
        <cfvo type="num" val="69"/>
        <cfvo type="num" val="78"/>
      </iconSet>
    </cfRule>
    <cfRule type="iconSet" priority="13">
      <iconSet showValue="0">
        <cfvo type="percent" val="0"/>
        <cfvo type="num" val="69"/>
        <cfvo type="num" val="78"/>
      </iconSet>
    </cfRule>
  </conditionalFormatting>
  <conditionalFormatting sqref="L17">
    <cfRule type="iconSet" priority="249">
      <iconSet showValue="0">
        <cfvo type="percent" val="0"/>
        <cfvo type="num" val="69"/>
        <cfvo type="num" val="78"/>
      </iconSet>
    </cfRule>
    <cfRule type="iconSet" priority="248">
      <iconSet showValue="0">
        <cfvo type="percent" val="0"/>
        <cfvo type="num" val="69"/>
        <cfvo type="num" val="78"/>
      </iconSet>
    </cfRule>
  </conditionalFormatting>
  <conditionalFormatting sqref="L19">
    <cfRule type="iconSet" priority="226">
      <iconSet showValue="0">
        <cfvo type="percent" val="0"/>
        <cfvo type="num" val="70"/>
        <cfvo type="num" val="75"/>
      </iconSet>
    </cfRule>
  </conditionalFormatting>
  <conditionalFormatting sqref="L20:L21">
    <cfRule type="iconSet" priority="223">
      <iconSet showValue="0">
        <cfvo type="percent" val="0"/>
        <cfvo type="num" val="69"/>
        <cfvo type="num" val="78"/>
      </iconSet>
    </cfRule>
    <cfRule type="iconSet" priority="224">
      <iconSet showValue="0">
        <cfvo type="percent" val="0"/>
        <cfvo type="num" val="69"/>
        <cfvo type="num" val="78"/>
      </iconSet>
    </cfRule>
  </conditionalFormatting>
  <conditionalFormatting sqref="L22">
    <cfRule type="iconSet" priority="221">
      <iconSet showValue="0">
        <cfvo type="percent" val="0"/>
        <cfvo type="num" val="70"/>
        <cfvo type="num" val="75"/>
      </iconSet>
    </cfRule>
  </conditionalFormatting>
  <conditionalFormatting sqref="L24">
    <cfRule type="iconSet" priority="181">
      <iconSet showValue="0">
        <cfvo type="percent" val="0"/>
        <cfvo type="num" val="50"/>
        <cfvo type="num" val="50"/>
      </iconSet>
    </cfRule>
  </conditionalFormatting>
  <conditionalFormatting sqref="L25">
    <cfRule type="iconSet" priority="157">
      <iconSet showValue="0">
        <cfvo type="percent" val="0"/>
        <cfvo type="num" val="69"/>
        <cfvo type="num" val="78"/>
      </iconSet>
    </cfRule>
    <cfRule type="iconSet" priority="156">
      <iconSet showValue="0">
        <cfvo type="percent" val="0"/>
        <cfvo type="num" val="69"/>
        <cfvo type="num" val="78"/>
      </iconSet>
    </cfRule>
  </conditionalFormatting>
  <conditionalFormatting sqref="L26">
    <cfRule type="iconSet" priority="135">
      <iconSet showValue="0">
        <cfvo type="percent" val="0"/>
        <cfvo type="num" val="69"/>
        <cfvo type="num" val="78"/>
      </iconSet>
    </cfRule>
    <cfRule type="iconSet" priority="136">
      <iconSet showValue="0">
        <cfvo type="percent" val="0"/>
        <cfvo type="num" val="69"/>
        <cfvo type="num" val="78"/>
      </iconSet>
    </cfRule>
  </conditionalFormatting>
  <conditionalFormatting sqref="L27">
    <cfRule type="iconSet" priority="55">
      <iconSet showValue="0">
        <cfvo type="percent" val="0"/>
        <cfvo type="num" val="69"/>
        <cfvo type="num" val="78"/>
      </iconSet>
    </cfRule>
    <cfRule type="iconSet" priority="54">
      <iconSet showValue="0">
        <cfvo type="percent" val="0"/>
        <cfvo type="num" val="69"/>
        <cfvo type="num" val="78"/>
      </iconSet>
    </cfRule>
  </conditionalFormatting>
  <conditionalFormatting sqref="L28">
    <cfRule type="iconSet" priority="48">
      <iconSet showValue="0">
        <cfvo type="percent" val="0"/>
        <cfvo type="num" val="69"/>
        <cfvo type="num" val="78"/>
      </iconSet>
    </cfRule>
    <cfRule type="iconSet" priority="49">
      <iconSet showValue="0">
        <cfvo type="percent" val="0"/>
        <cfvo type="num" val="69"/>
        <cfvo type="num" val="78"/>
      </iconSet>
    </cfRule>
  </conditionalFormatting>
  <conditionalFormatting sqref="N10">
    <cfRule type="iconSet" priority="79">
      <iconSet showValue="0">
        <cfvo type="percent" val="0"/>
        <cfvo type="num" val="69"/>
        <cfvo type="num" val="78"/>
      </iconSet>
    </cfRule>
    <cfRule type="iconSet" priority="78">
      <iconSet showValue="0">
        <cfvo type="percent" val="0"/>
        <cfvo type="num" val="69"/>
        <cfvo type="num" val="78"/>
      </iconSet>
    </cfRule>
  </conditionalFormatting>
  <conditionalFormatting sqref="N11">
    <cfRule type="iconSet" priority="105">
      <iconSet showValue="0">
        <cfvo type="percent" val="0"/>
        <cfvo type="num" val="69"/>
        <cfvo type="num" val="78"/>
      </iconSet>
    </cfRule>
    <cfRule type="iconSet" priority="104">
      <iconSet showValue="0">
        <cfvo type="percent" val="0"/>
        <cfvo type="num" val="69"/>
        <cfvo type="num" val="78"/>
      </iconSet>
    </cfRule>
  </conditionalFormatting>
  <conditionalFormatting sqref="N12">
    <cfRule type="iconSet" priority="103">
      <iconSet showValue="0">
        <cfvo type="percent" val="0"/>
        <cfvo type="num" val="69"/>
        <cfvo type="num" val="78"/>
      </iconSet>
    </cfRule>
    <cfRule type="iconSet" priority="102">
      <iconSet showValue="0">
        <cfvo type="percent" val="0"/>
        <cfvo type="num" val="69"/>
        <cfvo type="num" val="78"/>
      </iconSet>
    </cfRule>
  </conditionalFormatting>
  <conditionalFormatting sqref="N14">
    <cfRule type="iconSet" priority="65">
      <iconSet showValue="0">
        <cfvo type="percent" val="0"/>
        <cfvo type="num" val="50"/>
        <cfvo type="num" val="50"/>
      </iconSet>
    </cfRule>
  </conditionalFormatting>
  <conditionalFormatting sqref="N15">
    <cfRule type="iconSet" priority="803">
      <iconSet showValue="0">
        <cfvo type="percent" val="0"/>
        <cfvo type="num" val="69"/>
        <cfvo type="num" val="78"/>
      </iconSet>
    </cfRule>
    <cfRule type="iconSet" priority="802">
      <iconSet showValue="0">
        <cfvo type="percent" val="0"/>
        <cfvo type="num" val="69"/>
        <cfvo type="num" val="78"/>
      </iconSet>
    </cfRule>
  </conditionalFormatting>
  <conditionalFormatting sqref="N16">
    <cfRule type="iconSet" priority="11">
      <iconSet showValue="0">
        <cfvo type="percent" val="0"/>
        <cfvo type="num" val="69"/>
        <cfvo type="num" val="78"/>
      </iconSet>
    </cfRule>
    <cfRule type="iconSet" priority="12">
      <iconSet showValue="0">
        <cfvo type="percent" val="0"/>
        <cfvo type="num" val="69"/>
        <cfvo type="num" val="78"/>
      </iconSet>
    </cfRule>
  </conditionalFormatting>
  <conditionalFormatting sqref="N17">
    <cfRule type="iconSet" priority="247">
      <iconSet showValue="0">
        <cfvo type="percent" val="0"/>
        <cfvo type="num" val="70"/>
        <cfvo type="num" val="75"/>
      </iconSet>
    </cfRule>
  </conditionalFormatting>
  <conditionalFormatting sqref="N19">
    <cfRule type="iconSet" priority="220">
      <iconSet showValue="0">
        <cfvo type="percent" val="0"/>
        <cfvo type="num" val="70"/>
        <cfvo type="num" val="75"/>
      </iconSet>
    </cfRule>
  </conditionalFormatting>
  <conditionalFormatting sqref="N20">
    <cfRule type="iconSet" priority="218">
      <iconSet showValue="0">
        <cfvo type="percent" val="0"/>
        <cfvo type="num" val="50"/>
        <cfvo type="num" val="50"/>
      </iconSet>
    </cfRule>
  </conditionalFormatting>
  <conditionalFormatting sqref="N21">
    <cfRule type="iconSet" priority="215">
      <iconSet showValue="0">
        <cfvo type="percent" val="0"/>
        <cfvo type="num" val="69"/>
        <cfvo type="num" val="78"/>
      </iconSet>
    </cfRule>
    <cfRule type="iconSet" priority="216">
      <iconSet showValue="0">
        <cfvo type="percent" val="0"/>
        <cfvo type="num" val="69"/>
        <cfvo type="num" val="78"/>
      </iconSet>
    </cfRule>
  </conditionalFormatting>
  <conditionalFormatting sqref="N22">
    <cfRule type="iconSet" priority="214">
      <iconSet showValue="0">
        <cfvo type="percent" val="0"/>
        <cfvo type="num" val="70"/>
        <cfvo type="num" val="75"/>
      </iconSet>
    </cfRule>
  </conditionalFormatting>
  <conditionalFormatting sqref="N24">
    <cfRule type="iconSet" priority="180">
      <iconSet showValue="0">
        <cfvo type="percent" val="0"/>
        <cfvo type="num" val="50"/>
        <cfvo type="num" val="50"/>
      </iconSet>
    </cfRule>
  </conditionalFormatting>
  <conditionalFormatting sqref="N25">
    <cfRule type="iconSet" priority="154">
      <iconSet showValue="0">
        <cfvo type="percent" val="0"/>
        <cfvo type="num" val="69"/>
        <cfvo type="num" val="78"/>
      </iconSet>
    </cfRule>
    <cfRule type="iconSet" priority="155">
      <iconSet showValue="0">
        <cfvo type="percent" val="0"/>
        <cfvo type="num" val="69"/>
        <cfvo type="num" val="78"/>
      </iconSet>
    </cfRule>
  </conditionalFormatting>
  <conditionalFormatting sqref="N26">
    <cfRule type="iconSet" priority="134">
      <iconSet showValue="0">
        <cfvo type="percent" val="0"/>
        <cfvo type="num" val="69"/>
        <cfvo type="num" val="78"/>
      </iconSet>
    </cfRule>
    <cfRule type="iconSet" priority="133">
      <iconSet showValue="0">
        <cfvo type="percent" val="0"/>
        <cfvo type="num" val="69"/>
        <cfvo type="num" val="78"/>
      </iconSet>
    </cfRule>
  </conditionalFormatting>
  <conditionalFormatting sqref="N27">
    <cfRule type="iconSet" priority="121">
      <iconSet showValue="0">
        <cfvo type="percent" val="0"/>
        <cfvo type="num" val="69"/>
        <cfvo type="num" val="78"/>
      </iconSet>
    </cfRule>
    <cfRule type="iconSet" priority="120">
      <iconSet showValue="0">
        <cfvo type="percent" val="0"/>
        <cfvo type="num" val="69"/>
        <cfvo type="num" val="78"/>
      </iconSet>
    </cfRule>
  </conditionalFormatting>
  <conditionalFormatting sqref="N28">
    <cfRule type="iconSet" priority="46">
      <iconSet showValue="0">
        <cfvo type="percent" val="0"/>
        <cfvo type="num" val="69"/>
        <cfvo type="num" val="78"/>
      </iconSet>
    </cfRule>
    <cfRule type="iconSet" priority="47">
      <iconSet showValue="0">
        <cfvo type="percent" val="0"/>
        <cfvo type="num" val="69"/>
        <cfvo type="num" val="78"/>
      </iconSet>
    </cfRule>
  </conditionalFormatting>
  <conditionalFormatting sqref="P10">
    <cfRule type="iconSet" priority="76">
      <iconSet showValue="0">
        <cfvo type="percent" val="0"/>
        <cfvo type="num" val="69"/>
        <cfvo type="num" val="78"/>
      </iconSet>
    </cfRule>
    <cfRule type="iconSet" priority="77">
      <iconSet showValue="0">
        <cfvo type="percent" val="0"/>
        <cfvo type="num" val="69"/>
        <cfvo type="num" val="78"/>
      </iconSet>
    </cfRule>
  </conditionalFormatting>
  <conditionalFormatting sqref="P11">
    <cfRule type="iconSet" priority="100">
      <iconSet showValue="0">
        <cfvo type="percent" val="0"/>
        <cfvo type="num" val="69"/>
        <cfvo type="num" val="78"/>
      </iconSet>
    </cfRule>
    <cfRule type="iconSet" priority="101">
      <iconSet showValue="0">
        <cfvo type="percent" val="0"/>
        <cfvo type="num" val="69"/>
        <cfvo type="num" val="78"/>
      </iconSet>
    </cfRule>
  </conditionalFormatting>
  <conditionalFormatting sqref="P12">
    <cfRule type="iconSet" priority="98">
      <iconSet showValue="0">
        <cfvo type="percent" val="0"/>
        <cfvo type="num" val="69"/>
        <cfvo type="num" val="78"/>
      </iconSet>
    </cfRule>
    <cfRule type="iconSet" priority="99">
      <iconSet showValue="0">
        <cfvo type="percent" val="0"/>
        <cfvo type="num" val="69"/>
        <cfvo type="num" val="78"/>
      </iconSet>
    </cfRule>
  </conditionalFormatting>
  <conditionalFormatting sqref="P14">
    <cfRule type="iconSet" priority="64">
      <iconSet showValue="0">
        <cfvo type="percent" val="0"/>
        <cfvo type="num" val="50"/>
        <cfvo type="num" val="50"/>
      </iconSet>
    </cfRule>
  </conditionalFormatting>
  <conditionalFormatting sqref="P15">
    <cfRule type="iconSet" priority="754">
      <iconSet showValue="0">
        <cfvo type="percent" val="0"/>
        <cfvo type="num" val="69"/>
        <cfvo type="num" val="78"/>
      </iconSet>
    </cfRule>
    <cfRule type="iconSet" priority="755">
      <iconSet showValue="0">
        <cfvo type="percent" val="0"/>
        <cfvo type="num" val="69"/>
        <cfvo type="num" val="78"/>
      </iconSet>
    </cfRule>
  </conditionalFormatting>
  <conditionalFormatting sqref="P16">
    <cfRule type="iconSet" priority="10">
      <iconSet showValue="0">
        <cfvo type="percent" val="0"/>
        <cfvo type="num" val="69"/>
        <cfvo type="num" val="78"/>
      </iconSet>
    </cfRule>
    <cfRule type="iconSet" priority="9">
      <iconSet showValue="0">
        <cfvo type="percent" val="0"/>
        <cfvo type="num" val="69"/>
        <cfvo type="num" val="78"/>
      </iconSet>
    </cfRule>
  </conditionalFormatting>
  <conditionalFormatting sqref="P17">
    <cfRule type="iconSet" priority="245">
      <iconSet showValue="0">
        <cfvo type="percent" val="0"/>
        <cfvo type="num" val="69"/>
        <cfvo type="num" val="78"/>
      </iconSet>
    </cfRule>
    <cfRule type="iconSet" priority="246">
      <iconSet showValue="0">
        <cfvo type="percent" val="0"/>
        <cfvo type="num" val="69"/>
        <cfvo type="num" val="78"/>
      </iconSet>
    </cfRule>
  </conditionalFormatting>
  <conditionalFormatting sqref="P19">
    <cfRule type="iconSet" priority="213">
      <iconSet showValue="0">
        <cfvo type="percent" val="0"/>
        <cfvo type="num" val="70"/>
        <cfvo type="num" val="75"/>
      </iconSet>
    </cfRule>
  </conditionalFormatting>
  <conditionalFormatting sqref="P20">
    <cfRule type="iconSet" priority="31">
      <iconSet showValue="0">
        <cfvo type="percent" val="0"/>
        <cfvo type="num" val="50"/>
        <cfvo type="num" val="50"/>
      </iconSet>
    </cfRule>
  </conditionalFormatting>
  <conditionalFormatting sqref="P21">
    <cfRule type="iconSet" priority="30">
      <iconSet showValue="0">
        <cfvo type="percent" val="0"/>
        <cfvo type="num" val="70"/>
        <cfvo type="num" val="75"/>
      </iconSet>
    </cfRule>
  </conditionalFormatting>
  <conditionalFormatting sqref="P22">
    <cfRule type="iconSet" priority="208">
      <iconSet showValue="0">
        <cfvo type="percent" val="0"/>
        <cfvo type="num" val="70"/>
        <cfvo type="num" val="75"/>
      </iconSet>
    </cfRule>
  </conditionalFormatting>
  <conditionalFormatting sqref="P24">
    <cfRule type="iconSet" priority="179">
      <iconSet showValue="0">
        <cfvo type="percent" val="0"/>
        <cfvo type="num" val="50"/>
        <cfvo type="num" val="50"/>
      </iconSet>
    </cfRule>
  </conditionalFormatting>
  <conditionalFormatting sqref="P25">
    <cfRule type="iconSet" priority="153">
      <iconSet showValue="0">
        <cfvo type="percent" val="0"/>
        <cfvo type="num" val="69"/>
        <cfvo type="num" val="78"/>
      </iconSet>
    </cfRule>
    <cfRule type="iconSet" priority="152">
      <iconSet showValue="0">
        <cfvo type="percent" val="0"/>
        <cfvo type="num" val="69"/>
        <cfvo type="num" val="78"/>
      </iconSet>
    </cfRule>
  </conditionalFormatting>
  <conditionalFormatting sqref="P26:P27">
    <cfRule type="iconSet" priority="131">
      <iconSet showValue="0">
        <cfvo type="percent" val="0"/>
        <cfvo type="num" val="69"/>
        <cfvo type="num" val="78"/>
      </iconSet>
    </cfRule>
    <cfRule type="iconSet" priority="132">
      <iconSet showValue="0">
        <cfvo type="percent" val="0"/>
        <cfvo type="num" val="69"/>
        <cfvo type="num" val="78"/>
      </iconSet>
    </cfRule>
  </conditionalFormatting>
  <conditionalFormatting sqref="P28">
    <cfRule type="iconSet" priority="45">
      <iconSet showValue="0">
        <cfvo type="percent" val="0"/>
        <cfvo type="num" val="69"/>
        <cfvo type="num" val="78"/>
      </iconSet>
    </cfRule>
    <cfRule type="iconSet" priority="44">
      <iconSet showValue="0">
        <cfvo type="percent" val="0"/>
        <cfvo type="num" val="69"/>
        <cfvo type="num" val="78"/>
      </iconSet>
    </cfRule>
  </conditionalFormatting>
  <conditionalFormatting sqref="R10">
    <cfRule type="iconSet" priority="74">
      <iconSet showValue="0">
        <cfvo type="percent" val="0"/>
        <cfvo type="num" val="69"/>
        <cfvo type="num" val="78"/>
      </iconSet>
    </cfRule>
    <cfRule type="iconSet" priority="75">
      <iconSet showValue="0">
        <cfvo type="percent" val="0"/>
        <cfvo type="num" val="69"/>
        <cfvo type="num" val="78"/>
      </iconSet>
    </cfRule>
  </conditionalFormatting>
  <conditionalFormatting sqref="R11">
    <cfRule type="iconSet" priority="96">
      <iconSet showValue="0">
        <cfvo type="percent" val="0"/>
        <cfvo type="num" val="69"/>
        <cfvo type="num" val="78"/>
      </iconSet>
    </cfRule>
    <cfRule type="iconSet" priority="97">
      <iconSet showValue="0">
        <cfvo type="percent" val="0"/>
        <cfvo type="num" val="69"/>
        <cfvo type="num" val="78"/>
      </iconSet>
    </cfRule>
  </conditionalFormatting>
  <conditionalFormatting sqref="R12">
    <cfRule type="iconSet" priority="94">
      <iconSet showValue="0">
        <cfvo type="percent" val="0"/>
        <cfvo type="num" val="69"/>
        <cfvo type="num" val="78"/>
      </iconSet>
    </cfRule>
    <cfRule type="iconSet" priority="95">
      <iconSet showValue="0">
        <cfvo type="percent" val="0"/>
        <cfvo type="num" val="69"/>
        <cfvo type="num" val="78"/>
      </iconSet>
    </cfRule>
  </conditionalFormatting>
  <conditionalFormatting sqref="R14">
    <cfRule type="iconSet" priority="63">
      <iconSet showValue="0">
        <cfvo type="percent" val="0"/>
        <cfvo type="num" val="50"/>
        <cfvo type="num" val="50"/>
      </iconSet>
    </cfRule>
  </conditionalFormatting>
  <conditionalFormatting sqref="R15">
    <cfRule type="iconSet" priority="704">
      <iconSet showValue="0">
        <cfvo type="percent" val="0"/>
        <cfvo type="num" val="69"/>
        <cfvo type="num" val="78"/>
      </iconSet>
    </cfRule>
    <cfRule type="iconSet" priority="705">
      <iconSet showValue="0">
        <cfvo type="percent" val="0"/>
        <cfvo type="num" val="69"/>
        <cfvo type="num" val="78"/>
      </iconSet>
    </cfRule>
  </conditionalFormatting>
  <conditionalFormatting sqref="R17">
    <cfRule type="iconSet" priority="244">
      <iconSet showValue="0">
        <cfvo type="percent" val="0"/>
        <cfvo type="num" val="50"/>
        <cfvo type="num" val="50"/>
      </iconSet>
    </cfRule>
  </conditionalFormatting>
  <conditionalFormatting sqref="R19">
    <cfRule type="iconSet" priority="207">
      <iconSet showValue="0">
        <cfvo type="percent" val="0"/>
        <cfvo type="num" val="70"/>
        <cfvo type="num" val="75"/>
      </iconSet>
    </cfRule>
  </conditionalFormatting>
  <conditionalFormatting sqref="R20">
    <cfRule type="iconSet" priority="29">
      <iconSet showValue="0">
        <cfvo type="percent" val="0"/>
        <cfvo type="num" val="69"/>
        <cfvo type="num" val="78"/>
      </iconSet>
    </cfRule>
    <cfRule type="iconSet" priority="28">
      <iconSet showValue="0">
        <cfvo type="percent" val="0"/>
        <cfvo type="num" val="69"/>
        <cfvo type="num" val="78"/>
      </iconSet>
    </cfRule>
  </conditionalFormatting>
  <conditionalFormatting sqref="R21">
    <cfRule type="iconSet" priority="27">
      <iconSet showValue="0">
        <cfvo type="percent" val="0"/>
        <cfvo type="num" val="69"/>
        <cfvo type="num" val="78"/>
      </iconSet>
    </cfRule>
    <cfRule type="iconSet" priority="26">
      <iconSet showValue="0">
        <cfvo type="percent" val="0"/>
        <cfvo type="num" val="69"/>
        <cfvo type="num" val="78"/>
      </iconSet>
    </cfRule>
  </conditionalFormatting>
  <conditionalFormatting sqref="R22">
    <cfRule type="iconSet" priority="205">
      <iconSet showValue="0">
        <cfvo type="percent" val="0"/>
        <cfvo type="num" val="70"/>
        <cfvo type="num" val="75"/>
      </iconSet>
    </cfRule>
  </conditionalFormatting>
  <conditionalFormatting sqref="R24">
    <cfRule type="iconSet" priority="177">
      <iconSet showValue="0">
        <cfvo type="percent" val="0"/>
        <cfvo type="num" val="50"/>
        <cfvo type="num" val="50"/>
      </iconSet>
    </cfRule>
  </conditionalFormatting>
  <conditionalFormatting sqref="R26">
    <cfRule type="iconSet" priority="2">
      <iconSet showValue="0">
        <cfvo type="percent" val="0"/>
        <cfvo type="num" val="69"/>
        <cfvo type="num" val="78"/>
      </iconSet>
    </cfRule>
    <cfRule type="iconSet" priority="1">
      <iconSet showValue="0">
        <cfvo type="percent" val="0"/>
        <cfvo type="num" val="69"/>
        <cfvo type="num" val="78"/>
      </iconSet>
    </cfRule>
  </conditionalFormatting>
  <conditionalFormatting sqref="R28">
    <cfRule type="iconSet" priority="38">
      <iconSet showValue="0">
        <cfvo type="percent" val="0"/>
        <cfvo type="num" val="69"/>
        <cfvo type="num" val="78"/>
      </iconSet>
    </cfRule>
    <cfRule type="iconSet" priority="39">
      <iconSet showValue="0">
        <cfvo type="percent" val="0"/>
        <cfvo type="num" val="69"/>
        <cfvo type="num" val="78"/>
      </iconSet>
    </cfRule>
  </conditionalFormatting>
  <conditionalFormatting sqref="S33 K33">
    <cfRule type="iconSet" priority="451">
      <iconSet>
        <cfvo type="percent" val="0"/>
        <cfvo type="percent" val="33"/>
        <cfvo type="percent" val="67"/>
      </iconSet>
    </cfRule>
    <cfRule type="iconSet" priority="450">
      <iconSet showValue="0">
        <cfvo type="percent" val="0"/>
        <cfvo type="num" val="100"/>
        <cfvo type="num" val="100"/>
      </iconSet>
    </cfRule>
  </conditionalFormatting>
  <conditionalFormatting sqref="T10">
    <cfRule type="iconSet" priority="72">
      <iconSet showValue="0">
        <cfvo type="percent" val="0"/>
        <cfvo type="num" val="69"/>
        <cfvo type="num" val="78"/>
      </iconSet>
    </cfRule>
    <cfRule type="iconSet" priority="73">
      <iconSet showValue="0">
        <cfvo type="percent" val="0"/>
        <cfvo type="num" val="69"/>
        <cfvo type="num" val="78"/>
      </iconSet>
    </cfRule>
  </conditionalFormatting>
  <conditionalFormatting sqref="T11">
    <cfRule type="iconSet" priority="93">
      <iconSet showValue="0">
        <cfvo type="percent" val="0"/>
        <cfvo type="num" val="50"/>
        <cfvo type="num" val="100"/>
      </iconSet>
    </cfRule>
  </conditionalFormatting>
  <conditionalFormatting sqref="T12">
    <cfRule type="iconSet" priority="92">
      <iconSet showValue="0">
        <cfvo type="percent" val="0"/>
        <cfvo type="num" val="50"/>
        <cfvo type="num" val="100"/>
      </iconSet>
    </cfRule>
  </conditionalFormatting>
  <conditionalFormatting sqref="T14">
    <cfRule type="iconSet" priority="62">
      <iconSet showValue="0">
        <cfvo type="percent" val="0"/>
        <cfvo type="num" val="50"/>
        <cfvo type="num" val="50"/>
      </iconSet>
    </cfRule>
  </conditionalFormatting>
  <conditionalFormatting sqref="T15">
    <cfRule type="iconSet" priority="650">
      <iconSet showValue="0">
        <cfvo type="percent" val="0"/>
        <cfvo type="num" val="69"/>
        <cfvo type="num" val="78"/>
      </iconSet>
    </cfRule>
    <cfRule type="iconSet" priority="649">
      <iconSet showValue="0">
        <cfvo type="percent" val="0"/>
        <cfvo type="num" val="69"/>
        <cfvo type="num" val="78"/>
      </iconSet>
    </cfRule>
  </conditionalFormatting>
  <conditionalFormatting sqref="T16">
    <cfRule type="iconSet" priority="8">
      <iconSet showValue="0">
        <cfvo type="percent" val="0"/>
        <cfvo type="num" val="69"/>
        <cfvo type="num" val="78"/>
      </iconSet>
    </cfRule>
    <cfRule type="iconSet" priority="7">
      <iconSet showValue="0">
        <cfvo type="percent" val="0"/>
        <cfvo type="num" val="69"/>
        <cfvo type="num" val="78"/>
      </iconSet>
    </cfRule>
  </conditionalFormatting>
  <conditionalFormatting sqref="T17">
    <cfRule type="iconSet" priority="242">
      <iconSet showValue="0">
        <cfvo type="percent" val="0"/>
        <cfvo type="num" val="69"/>
        <cfvo type="num" val="78"/>
      </iconSet>
    </cfRule>
    <cfRule type="iconSet" priority="243">
      <iconSet showValue="0">
        <cfvo type="percent" val="0"/>
        <cfvo type="num" val="69"/>
        <cfvo type="num" val="78"/>
      </iconSet>
    </cfRule>
  </conditionalFormatting>
  <conditionalFormatting sqref="T19">
    <cfRule type="iconSet" priority="204">
      <iconSet showValue="0">
        <cfvo type="percent" val="0"/>
        <cfvo type="num" val="70"/>
        <cfvo type="num" val="75"/>
      </iconSet>
    </cfRule>
  </conditionalFormatting>
  <conditionalFormatting sqref="T20">
    <cfRule type="iconSet" priority="201">
      <iconSet showValue="0">
        <cfvo type="percent" val="0"/>
        <cfvo type="num" val="70"/>
        <cfvo type="num" val="75"/>
      </iconSet>
    </cfRule>
  </conditionalFormatting>
  <conditionalFormatting sqref="T21">
    <cfRule type="iconSet" priority="25">
      <iconSet showValue="0">
        <cfvo type="percent" val="0"/>
        <cfvo type="num" val="50"/>
        <cfvo type="num" val="50"/>
      </iconSet>
    </cfRule>
  </conditionalFormatting>
  <conditionalFormatting sqref="T22">
    <cfRule type="iconSet" priority="200">
      <iconSet showValue="0">
        <cfvo type="percent" val="0"/>
        <cfvo type="num" val="70"/>
        <cfvo type="num" val="75"/>
      </iconSet>
    </cfRule>
  </conditionalFormatting>
  <conditionalFormatting sqref="T24">
    <cfRule type="iconSet" priority="178">
      <iconSet showValue="0">
        <cfvo type="percent" val="0"/>
        <cfvo type="num" val="50"/>
        <cfvo type="num" val="50"/>
      </iconSet>
    </cfRule>
  </conditionalFormatting>
  <conditionalFormatting sqref="T25">
    <cfRule type="iconSet" priority="150">
      <iconSet showValue="0">
        <cfvo type="percent" val="0"/>
        <cfvo type="num" val="69"/>
        <cfvo type="num" val="78"/>
      </iconSet>
    </cfRule>
    <cfRule type="iconSet" priority="151">
      <iconSet showValue="0">
        <cfvo type="percent" val="0"/>
        <cfvo type="num" val="69"/>
        <cfvo type="num" val="78"/>
      </iconSet>
    </cfRule>
  </conditionalFormatting>
  <conditionalFormatting sqref="T26:T27">
    <cfRule type="iconSet" priority="129">
      <iconSet showValue="0">
        <cfvo type="percent" val="0"/>
        <cfvo type="num" val="69"/>
        <cfvo type="num" val="78"/>
      </iconSet>
    </cfRule>
    <cfRule type="iconSet" priority="128">
      <iconSet showValue="0">
        <cfvo type="percent" val="0"/>
        <cfvo type="num" val="69"/>
        <cfvo type="num" val="78"/>
      </iconSet>
    </cfRule>
  </conditionalFormatting>
  <conditionalFormatting sqref="T28">
    <cfRule type="iconSet" priority="42">
      <iconSet showValue="0">
        <cfvo type="percent" val="0"/>
        <cfvo type="num" val="69"/>
        <cfvo type="num" val="78"/>
      </iconSet>
    </cfRule>
    <cfRule type="iconSet" priority="43">
      <iconSet showValue="0">
        <cfvo type="percent" val="0"/>
        <cfvo type="num" val="69"/>
        <cfvo type="num" val="78"/>
      </iconSet>
    </cfRule>
  </conditionalFormatting>
  <conditionalFormatting sqref="V10">
    <cfRule type="iconSet" priority="70">
      <iconSet showValue="0">
        <cfvo type="percent" val="0"/>
        <cfvo type="num" val="69"/>
        <cfvo type="num" val="78"/>
      </iconSet>
    </cfRule>
    <cfRule type="iconSet" priority="71">
      <iconSet showValue="0">
        <cfvo type="percent" val="0"/>
        <cfvo type="num" val="69"/>
        <cfvo type="num" val="78"/>
      </iconSet>
    </cfRule>
  </conditionalFormatting>
  <conditionalFormatting sqref="V11">
    <cfRule type="iconSet" priority="91">
      <iconSet showValue="0">
        <cfvo type="percent" val="0"/>
        <cfvo type="num" val="69"/>
        <cfvo type="num" val="78"/>
      </iconSet>
    </cfRule>
    <cfRule type="iconSet" priority="90">
      <iconSet showValue="0">
        <cfvo type="percent" val="0"/>
        <cfvo type="num" val="69"/>
        <cfvo type="num" val="78"/>
      </iconSet>
    </cfRule>
  </conditionalFormatting>
  <conditionalFormatting sqref="V12">
    <cfRule type="iconSet" priority="88">
      <iconSet showValue="0">
        <cfvo type="percent" val="0"/>
        <cfvo type="num" val="69"/>
        <cfvo type="num" val="78"/>
      </iconSet>
    </cfRule>
    <cfRule type="iconSet" priority="89">
      <iconSet showValue="0">
        <cfvo type="percent" val="0"/>
        <cfvo type="num" val="69"/>
        <cfvo type="num" val="78"/>
      </iconSet>
    </cfRule>
  </conditionalFormatting>
  <conditionalFormatting sqref="V14:V15">
    <cfRule type="iconSet" priority="605">
      <iconSet showValue="0">
        <cfvo type="percent" val="0"/>
        <cfvo type="num" val="69"/>
        <cfvo type="num" val="78"/>
      </iconSet>
    </cfRule>
    <cfRule type="iconSet" priority="606">
      <iconSet showValue="0">
        <cfvo type="percent" val="0"/>
        <cfvo type="num" val="69"/>
        <cfvo type="num" val="78"/>
      </iconSet>
    </cfRule>
  </conditionalFormatting>
  <conditionalFormatting sqref="V16">
    <cfRule type="iconSet" priority="19">
      <iconSet showValue="0">
        <cfvo type="percent" val="0"/>
        <cfvo type="num" val="69"/>
        <cfvo type="num" val="78"/>
      </iconSet>
    </cfRule>
    <cfRule type="iconSet" priority="20">
      <iconSet showValue="0">
        <cfvo type="percent" val="0"/>
        <cfvo type="num" val="69"/>
        <cfvo type="num" val="78"/>
      </iconSet>
    </cfRule>
  </conditionalFormatting>
  <conditionalFormatting sqref="V17">
    <cfRule type="iconSet" priority="241">
      <iconSet showValue="0">
        <cfvo type="percent" val="0"/>
        <cfvo type="num" val="69"/>
        <cfvo type="num" val="78"/>
      </iconSet>
    </cfRule>
    <cfRule type="iconSet" priority="240">
      <iconSet showValue="0">
        <cfvo type="percent" val="0"/>
        <cfvo type="num" val="69"/>
        <cfvo type="num" val="78"/>
      </iconSet>
    </cfRule>
  </conditionalFormatting>
  <conditionalFormatting sqref="V19">
    <cfRule type="iconSet" priority="197">
      <iconSet showValue="0">
        <cfvo type="percent" val="0"/>
        <cfvo type="num" val="70"/>
        <cfvo type="num" val="75"/>
      </iconSet>
    </cfRule>
  </conditionalFormatting>
  <conditionalFormatting sqref="V20">
    <cfRule type="iconSet" priority="24">
      <iconSet showValue="0">
        <cfvo type="percent" val="0"/>
        <cfvo type="num" val="50"/>
        <cfvo type="num" val="50"/>
      </iconSet>
    </cfRule>
  </conditionalFormatting>
  <conditionalFormatting sqref="V21">
    <cfRule type="iconSet" priority="193">
      <iconSet showValue="0">
        <cfvo type="percent" val="0"/>
        <cfvo type="num" val="69"/>
        <cfvo type="num" val="78"/>
      </iconSet>
    </cfRule>
    <cfRule type="iconSet" priority="192">
      <iconSet showValue="0">
        <cfvo type="percent" val="0"/>
        <cfvo type="num" val="69"/>
        <cfvo type="num" val="78"/>
      </iconSet>
    </cfRule>
  </conditionalFormatting>
  <conditionalFormatting sqref="V22">
    <cfRule type="iconSet" priority="191">
      <iconSet showValue="0">
        <cfvo type="percent" val="0"/>
        <cfvo type="num" val="70"/>
        <cfvo type="num" val="75"/>
      </iconSet>
    </cfRule>
  </conditionalFormatting>
  <conditionalFormatting sqref="V24">
    <cfRule type="iconSet" priority="176">
      <iconSet showValue="0">
        <cfvo type="percent" val="0"/>
        <cfvo type="num" val="50"/>
        <cfvo type="num" val="50"/>
      </iconSet>
    </cfRule>
  </conditionalFormatting>
  <conditionalFormatting sqref="V25">
    <cfRule type="iconSet" priority="149">
      <iconSet showValue="0">
        <cfvo type="percent" val="0"/>
        <cfvo type="num" val="69"/>
        <cfvo type="num" val="78"/>
      </iconSet>
    </cfRule>
    <cfRule type="iconSet" priority="148">
      <iconSet showValue="0">
        <cfvo type="percent" val="0"/>
        <cfvo type="num" val="69"/>
        <cfvo type="num" val="78"/>
      </iconSet>
    </cfRule>
  </conditionalFormatting>
  <conditionalFormatting sqref="V26">
    <cfRule type="iconSet" priority="126">
      <iconSet showValue="0">
        <cfvo type="percent" val="0"/>
        <cfvo type="num" val="69"/>
        <cfvo type="num" val="78"/>
      </iconSet>
    </cfRule>
    <cfRule type="iconSet" priority="127">
      <iconSet showValue="0">
        <cfvo type="percent" val="0"/>
        <cfvo type="num" val="69"/>
        <cfvo type="num" val="78"/>
      </iconSet>
    </cfRule>
  </conditionalFormatting>
  <conditionalFormatting sqref="V27">
    <cfRule type="iconSet" priority="53">
      <iconSet showValue="0">
        <cfvo type="percent" val="0"/>
        <cfvo type="num" val="69"/>
        <cfvo type="num" val="78"/>
      </iconSet>
    </cfRule>
    <cfRule type="iconSet" priority="52">
      <iconSet showValue="0">
        <cfvo type="percent" val="0"/>
        <cfvo type="num" val="69"/>
        <cfvo type="num" val="78"/>
      </iconSet>
    </cfRule>
  </conditionalFormatting>
  <conditionalFormatting sqref="V28">
    <cfRule type="iconSet" priority="41">
      <iconSet showValue="0">
        <cfvo type="percent" val="0"/>
        <cfvo type="num" val="69"/>
        <cfvo type="num" val="78"/>
      </iconSet>
    </cfRule>
    <cfRule type="iconSet" priority="40">
      <iconSet showValue="0">
        <cfvo type="percent" val="0"/>
        <cfvo type="num" val="69"/>
        <cfvo type="num" val="78"/>
      </iconSet>
    </cfRule>
  </conditionalFormatting>
  <conditionalFormatting sqref="X10">
    <cfRule type="iconSet" priority="68">
      <iconSet showValue="0">
        <cfvo type="percent" val="0"/>
        <cfvo type="num" val="69"/>
        <cfvo type="num" val="78"/>
      </iconSet>
    </cfRule>
    <cfRule type="iconSet" priority="69">
      <iconSet showValue="0">
        <cfvo type="percent" val="0"/>
        <cfvo type="num" val="69"/>
        <cfvo type="num" val="78"/>
      </iconSet>
    </cfRule>
  </conditionalFormatting>
  <conditionalFormatting sqref="X11">
    <cfRule type="iconSet" priority="86">
      <iconSet showValue="0">
        <cfvo type="percent" val="0"/>
        <cfvo type="num" val="69"/>
        <cfvo type="num" val="78"/>
      </iconSet>
    </cfRule>
    <cfRule type="iconSet" priority="87">
      <iconSet showValue="0">
        <cfvo type="percent" val="0"/>
        <cfvo type="num" val="69"/>
        <cfvo type="num" val="78"/>
      </iconSet>
    </cfRule>
  </conditionalFormatting>
  <conditionalFormatting sqref="X12">
    <cfRule type="iconSet" priority="84">
      <iconSet showValue="0">
        <cfvo type="percent" val="0"/>
        <cfvo type="num" val="69"/>
        <cfvo type="num" val="78"/>
      </iconSet>
    </cfRule>
    <cfRule type="iconSet" priority="85">
      <iconSet showValue="0">
        <cfvo type="percent" val="0"/>
        <cfvo type="num" val="69"/>
        <cfvo type="num" val="78"/>
      </iconSet>
    </cfRule>
  </conditionalFormatting>
  <conditionalFormatting sqref="X14">
    <cfRule type="iconSet" priority="59">
      <iconSet showValue="0">
        <cfvo type="percent" val="0"/>
        <cfvo type="num" val="50"/>
        <cfvo type="num" val="50"/>
      </iconSet>
    </cfRule>
  </conditionalFormatting>
  <conditionalFormatting sqref="X15">
    <cfRule type="iconSet" priority="567">
      <iconSet showValue="0">
        <cfvo type="percent" val="0"/>
        <cfvo type="num" val="69"/>
        <cfvo type="num" val="78"/>
      </iconSet>
    </cfRule>
    <cfRule type="iconSet" priority="568">
      <iconSet showValue="0">
        <cfvo type="percent" val="0"/>
        <cfvo type="num" val="69"/>
        <cfvo type="num" val="78"/>
      </iconSet>
    </cfRule>
  </conditionalFormatting>
  <conditionalFormatting sqref="X16">
    <cfRule type="iconSet" priority="18">
      <iconSet showValue="0">
        <cfvo type="percent" val="0"/>
        <cfvo type="num" val="69"/>
        <cfvo type="num" val="78"/>
      </iconSet>
    </cfRule>
    <cfRule type="iconSet" priority="17">
      <iconSet showValue="0">
        <cfvo type="percent" val="0"/>
        <cfvo type="num" val="69"/>
        <cfvo type="num" val="78"/>
      </iconSet>
    </cfRule>
  </conditionalFormatting>
  <conditionalFormatting sqref="X17">
    <cfRule type="iconSet" priority="238">
      <iconSet showValue="0">
        <cfvo type="percent" val="0"/>
        <cfvo type="num" val="69"/>
        <cfvo type="num" val="78"/>
      </iconSet>
    </cfRule>
    <cfRule type="iconSet" priority="239">
      <iconSet showValue="0">
        <cfvo type="percent" val="0"/>
        <cfvo type="num" val="69"/>
        <cfvo type="num" val="78"/>
      </iconSet>
    </cfRule>
  </conditionalFormatting>
  <conditionalFormatting sqref="X19">
    <cfRule type="iconSet" priority="190">
      <iconSet showValue="0">
        <cfvo type="percent" val="0"/>
        <cfvo type="num" val="70"/>
        <cfvo type="num" val="75"/>
      </iconSet>
    </cfRule>
  </conditionalFormatting>
  <conditionalFormatting sqref="X20">
    <cfRule type="iconSet" priority="23">
      <iconSet showValue="0">
        <cfvo type="percent" val="0"/>
        <cfvo type="num" val="50"/>
        <cfvo type="num" val="50"/>
      </iconSet>
    </cfRule>
  </conditionalFormatting>
  <conditionalFormatting sqref="X21">
    <cfRule type="iconSet" priority="186">
      <iconSet showValue="0">
        <cfvo type="percent" val="0"/>
        <cfvo type="num" val="69"/>
        <cfvo type="num" val="78"/>
      </iconSet>
    </cfRule>
    <cfRule type="iconSet" priority="185">
      <iconSet showValue="0">
        <cfvo type="percent" val="0"/>
        <cfvo type="num" val="69"/>
        <cfvo type="num" val="78"/>
      </iconSet>
    </cfRule>
  </conditionalFormatting>
  <conditionalFormatting sqref="X22">
    <cfRule type="iconSet" priority="184">
      <iconSet showValue="0">
        <cfvo type="percent" val="0"/>
        <cfvo type="num" val="70"/>
        <cfvo type="num" val="75"/>
      </iconSet>
    </cfRule>
  </conditionalFormatting>
  <conditionalFormatting sqref="X24">
    <cfRule type="iconSet" priority="175">
      <iconSet showValue="0">
        <cfvo type="percent" val="0"/>
        <cfvo type="num" val="50"/>
        <cfvo type="num" val="50"/>
      </iconSet>
    </cfRule>
  </conditionalFormatting>
  <conditionalFormatting sqref="X25">
    <cfRule type="iconSet" priority="146">
      <iconSet showValue="0">
        <cfvo type="percent" val="0"/>
        <cfvo type="num" val="69"/>
        <cfvo type="num" val="78"/>
      </iconSet>
    </cfRule>
    <cfRule type="iconSet" priority="147">
      <iconSet showValue="0">
        <cfvo type="percent" val="0"/>
        <cfvo type="num" val="69"/>
        <cfvo type="num" val="78"/>
      </iconSet>
    </cfRule>
  </conditionalFormatting>
  <conditionalFormatting sqref="X26:X28">
    <cfRule type="iconSet" priority="124">
      <iconSet showValue="0">
        <cfvo type="percent" val="0"/>
        <cfvo type="num" val="69"/>
        <cfvo type="num" val="78"/>
      </iconSet>
    </cfRule>
    <cfRule type="iconSet" priority="125">
      <iconSet showValue="0">
        <cfvo type="percent" val="0"/>
        <cfvo type="num" val="69"/>
        <cfvo type="num" val="78"/>
      </iconSet>
    </cfRule>
  </conditionalFormatting>
  <conditionalFormatting sqref="Y6">
    <cfRule type="iconSet" priority="320">
      <iconSet showValue="0">
        <cfvo type="percent" val="0"/>
        <cfvo type="num" val="50"/>
        <cfvo type="num" val="100"/>
      </iconSet>
    </cfRule>
  </conditionalFormatting>
  <conditionalFormatting sqref="Y7">
    <cfRule type="iconSet" priority="319">
      <iconSet showValue="0">
        <cfvo type="percent" val="0"/>
        <cfvo type="num" val="70"/>
        <cfvo type="num" val="75"/>
      </iconSet>
    </cfRule>
  </conditionalFormatting>
  <conditionalFormatting sqref="Y8">
    <cfRule type="iconSet" priority="318">
      <iconSet showValue="0">
        <cfvo type="percent" val="0"/>
        <cfvo type="num" val="80"/>
        <cfvo type="num" val="85"/>
      </iconSet>
    </cfRule>
  </conditionalFormatting>
  <pageMargins left="0.25" right="0.25" top="0.75" bottom="0.75" header="0.3" footer="0.3"/>
  <pageSetup paperSize="5" scale="7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E85E-1AA1-47A4-BF18-15CF132C7DBB}">
  <sheetPr>
    <pageSetUpPr fitToPage="1"/>
  </sheetPr>
  <dimension ref="B1:Z40"/>
  <sheetViews>
    <sheetView showGridLines="0" topLeftCell="A5" zoomScale="90" zoomScaleNormal="90" workbookViewId="0">
      <selection activeCell="G6" sqref="G6:H6"/>
    </sheetView>
  </sheetViews>
  <sheetFormatPr defaultColWidth="14.15234375" defaultRowHeight="14" x14ac:dyDescent="0.3"/>
  <cols>
    <col min="1" max="1" width="3.3828125" customWidth="1"/>
    <col min="2" max="2" width="34.84375" customWidth="1"/>
    <col min="3" max="3" width="13.84375" customWidth="1"/>
    <col min="4" max="4" width="14.15234375" customWidth="1"/>
    <col min="5" max="6" width="2.61328125" customWidth="1"/>
    <col min="7" max="7" width="10.61328125" customWidth="1"/>
    <col min="8" max="8" width="2.61328125" customWidth="1"/>
    <col min="9" max="9" width="10.61328125" customWidth="1"/>
    <col min="10" max="10" width="2.61328125" customWidth="1"/>
    <col min="11" max="11" width="10.61328125" customWidth="1"/>
    <col min="12" max="12" width="2.61328125" customWidth="1"/>
    <col min="13" max="13" width="10.61328125" customWidth="1"/>
    <col min="14" max="14" width="2.61328125" customWidth="1"/>
    <col min="15" max="15" width="8.61328125" customWidth="1"/>
    <col min="16" max="16" width="2.61328125" customWidth="1"/>
    <col min="17" max="17" width="10.61328125" customWidth="1"/>
    <col min="18" max="18" width="2.61328125" customWidth="1"/>
    <col min="19" max="19" width="8.3828125" customWidth="1"/>
    <col min="20" max="20" width="2.61328125" customWidth="1"/>
    <col min="21" max="21" width="8.15234375" customWidth="1"/>
    <col min="22" max="22" width="2.61328125" customWidth="1"/>
    <col min="23" max="23" width="5.3828125" customWidth="1"/>
    <col min="24" max="25" width="4.3828125" customWidth="1"/>
    <col min="27" max="27" width="0" hidden="1" customWidth="1"/>
    <col min="33" max="36" width="0" hidden="1" customWidth="1"/>
  </cols>
  <sheetData>
    <row r="1" spans="2:25" ht="40.5" customHeight="1" x14ac:dyDescent="0.3">
      <c r="B1" s="443" t="s">
        <v>6</v>
      </c>
      <c r="C1" s="443"/>
      <c r="D1" s="443"/>
      <c r="E1" s="443"/>
    </row>
    <row r="2" spans="2:25" ht="17.5" x14ac:dyDescent="0.3">
      <c r="B2" s="233" t="s">
        <v>1</v>
      </c>
      <c r="C2" s="233"/>
    </row>
    <row r="3" spans="2:25" ht="17.5" x14ac:dyDescent="0.3">
      <c r="B3" s="233"/>
      <c r="C3" s="233"/>
    </row>
    <row r="4" spans="2:25" ht="38.5" customHeight="1" x14ac:dyDescent="0.35">
      <c r="B4" s="149"/>
      <c r="C4" s="149"/>
    </row>
    <row r="5" spans="2:25" ht="17.5" x14ac:dyDescent="0.35">
      <c r="B5" s="149"/>
      <c r="C5" s="149"/>
    </row>
    <row r="6" spans="2:25" ht="24" customHeight="1" x14ac:dyDescent="0.3">
      <c r="B6" s="38" t="s">
        <v>2</v>
      </c>
      <c r="C6" s="395" t="s">
        <v>85</v>
      </c>
      <c r="D6" s="42" t="s">
        <v>86</v>
      </c>
      <c r="E6" s="468" t="s">
        <v>87</v>
      </c>
      <c r="F6" s="475"/>
      <c r="G6" s="445" t="s">
        <v>133</v>
      </c>
      <c r="H6" s="440"/>
      <c r="I6" s="445" t="s">
        <v>134</v>
      </c>
      <c r="J6" s="440"/>
      <c r="K6" s="445" t="s">
        <v>135</v>
      </c>
      <c r="L6" s="440"/>
      <c r="M6" s="445" t="s">
        <v>136</v>
      </c>
      <c r="N6" s="440"/>
      <c r="O6" s="476" t="s">
        <v>137</v>
      </c>
      <c r="P6" s="477"/>
      <c r="Q6" s="445" t="s">
        <v>138</v>
      </c>
      <c r="R6" s="440"/>
      <c r="S6" s="445" t="s">
        <v>139</v>
      </c>
      <c r="T6" s="440"/>
      <c r="U6" s="445" t="s">
        <v>140</v>
      </c>
      <c r="V6" s="440"/>
    </row>
    <row r="7" spans="2:25" ht="13.5" customHeight="1" x14ac:dyDescent="0.3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43"/>
      <c r="N7" s="43"/>
      <c r="O7" s="47"/>
      <c r="P7" s="47"/>
      <c r="Q7" s="39"/>
      <c r="R7" s="43"/>
      <c r="S7" s="39"/>
      <c r="T7" s="43"/>
      <c r="U7" s="39"/>
      <c r="V7" s="43"/>
    </row>
    <row r="8" spans="2:25" ht="20.25" customHeight="1" x14ac:dyDescent="0.3">
      <c r="B8" s="82" t="s">
        <v>10</v>
      </c>
      <c r="C8" s="82"/>
      <c r="D8" s="139" t="s">
        <v>11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1"/>
      <c r="P8" s="141"/>
      <c r="Q8" s="140"/>
      <c r="R8" s="140"/>
      <c r="S8" s="140"/>
      <c r="T8" s="140"/>
      <c r="U8" s="140"/>
      <c r="V8" s="141"/>
      <c r="W8" s="100"/>
    </row>
    <row r="9" spans="2:25" ht="20.25" customHeight="1" x14ac:dyDescent="0.3">
      <c r="B9" s="103" t="s">
        <v>12</v>
      </c>
      <c r="C9" s="103"/>
      <c r="D9" s="96"/>
      <c r="E9" s="96"/>
      <c r="F9" s="104"/>
      <c r="G9" s="96"/>
      <c r="H9" s="96"/>
      <c r="I9" s="96"/>
      <c r="J9" s="96"/>
      <c r="K9" s="96"/>
      <c r="L9" s="96"/>
      <c r="M9" s="96"/>
      <c r="N9" s="96"/>
      <c r="O9" s="94"/>
      <c r="P9" s="94"/>
      <c r="Q9" s="96"/>
      <c r="R9" s="96"/>
      <c r="S9" s="96"/>
      <c r="T9" s="96"/>
      <c r="U9" s="96"/>
      <c r="V9" s="94"/>
    </row>
    <row r="10" spans="2:25" ht="20.25" customHeight="1" x14ac:dyDescent="0.3">
      <c r="B10" s="103" t="s">
        <v>13</v>
      </c>
      <c r="C10" s="103"/>
      <c r="D10" s="96"/>
      <c r="E10" s="96"/>
      <c r="F10" s="104"/>
      <c r="G10" s="96"/>
      <c r="H10" s="96"/>
      <c r="I10" s="96"/>
      <c r="J10" s="96"/>
      <c r="K10" s="96"/>
      <c r="L10" s="96"/>
      <c r="M10" s="96"/>
      <c r="N10" s="96"/>
      <c r="O10" s="94"/>
      <c r="P10" s="94"/>
      <c r="Q10" s="96"/>
      <c r="R10" s="96"/>
      <c r="S10" s="96"/>
      <c r="T10" s="96"/>
      <c r="U10" s="96"/>
      <c r="V10" s="94"/>
    </row>
    <row r="11" spans="2:25" ht="20.25" customHeight="1" x14ac:dyDescent="0.3">
      <c r="B11" s="56" t="s">
        <v>14</v>
      </c>
      <c r="C11" s="56"/>
      <c r="D11" s="215" t="s">
        <v>15</v>
      </c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79"/>
    </row>
    <row r="12" spans="2:25" ht="20.25" customHeight="1" x14ac:dyDescent="0.3">
      <c r="B12" s="360" t="s">
        <v>16</v>
      </c>
      <c r="C12" s="358" t="s">
        <v>97</v>
      </c>
      <c r="D12" s="29">
        <v>0.77</v>
      </c>
      <c r="E12" s="14">
        <v>100</v>
      </c>
      <c r="F12" s="102"/>
      <c r="G12" s="268">
        <v>0.83</v>
      </c>
      <c r="H12" s="180">
        <v>100</v>
      </c>
      <c r="I12" s="270">
        <v>0.56000000000000005</v>
      </c>
      <c r="J12" s="180">
        <v>30</v>
      </c>
      <c r="K12" s="270">
        <v>0.71</v>
      </c>
      <c r="L12" s="180">
        <v>73</v>
      </c>
      <c r="M12" s="270">
        <v>0.84</v>
      </c>
      <c r="N12" s="180">
        <v>100</v>
      </c>
      <c r="O12" s="271">
        <v>0.74</v>
      </c>
      <c r="P12" s="183">
        <v>100</v>
      </c>
      <c r="Q12" s="270">
        <v>0.64</v>
      </c>
      <c r="R12" s="180">
        <v>30</v>
      </c>
      <c r="S12" s="270">
        <v>0.87</v>
      </c>
      <c r="T12" s="180">
        <v>100</v>
      </c>
      <c r="U12" s="270">
        <v>0.68</v>
      </c>
      <c r="V12" s="178">
        <v>30</v>
      </c>
    </row>
    <row r="13" spans="2:25" ht="20.25" customHeight="1" x14ac:dyDescent="0.3">
      <c r="B13" s="360" t="s">
        <v>18</v>
      </c>
      <c r="C13" s="358" t="s">
        <v>33</v>
      </c>
      <c r="D13" s="30">
        <v>85.25</v>
      </c>
      <c r="E13" s="14">
        <v>100</v>
      </c>
      <c r="F13" s="114"/>
      <c r="G13" s="427">
        <v>85.5</v>
      </c>
      <c r="H13" s="180">
        <v>100</v>
      </c>
      <c r="I13" s="180">
        <v>85.75</v>
      </c>
      <c r="J13" s="180">
        <v>100</v>
      </c>
      <c r="K13" s="219">
        <v>86</v>
      </c>
      <c r="L13" s="180">
        <v>100</v>
      </c>
      <c r="M13" s="180">
        <v>84.25</v>
      </c>
      <c r="N13" s="180">
        <v>100</v>
      </c>
      <c r="O13" s="180">
        <v>84.25</v>
      </c>
      <c r="P13" s="183">
        <v>100</v>
      </c>
      <c r="Q13" s="180">
        <v>86.75</v>
      </c>
      <c r="R13" s="180">
        <v>100</v>
      </c>
      <c r="S13" s="180">
        <v>84</v>
      </c>
      <c r="T13" s="180">
        <v>100</v>
      </c>
      <c r="U13" s="180">
        <v>85.25</v>
      </c>
      <c r="V13" s="183">
        <v>100</v>
      </c>
      <c r="Y13" s="18"/>
    </row>
    <row r="14" spans="2:25" ht="20.25" customHeight="1" x14ac:dyDescent="0.3">
      <c r="B14" s="360" t="s">
        <v>20</v>
      </c>
      <c r="C14" s="358" t="s">
        <v>98</v>
      </c>
      <c r="D14" s="167">
        <v>82</v>
      </c>
      <c r="E14" s="14">
        <v>100</v>
      </c>
      <c r="F14" s="115"/>
      <c r="G14" s="182">
        <v>81</v>
      </c>
      <c r="H14" s="183">
        <v>100</v>
      </c>
      <c r="I14" s="183">
        <v>85</v>
      </c>
      <c r="J14" s="180">
        <v>100</v>
      </c>
      <c r="K14" s="183">
        <v>85</v>
      </c>
      <c r="L14" s="180">
        <v>100</v>
      </c>
      <c r="M14" s="183">
        <v>81</v>
      </c>
      <c r="N14" s="183">
        <v>100</v>
      </c>
      <c r="O14" s="183">
        <v>81</v>
      </c>
      <c r="P14" s="183">
        <v>100</v>
      </c>
      <c r="Q14" s="183">
        <v>81</v>
      </c>
      <c r="R14" s="180">
        <v>100</v>
      </c>
      <c r="S14" s="183">
        <v>83</v>
      </c>
      <c r="T14" s="180">
        <v>100</v>
      </c>
      <c r="U14" s="183">
        <v>83</v>
      </c>
      <c r="V14" s="183">
        <v>100</v>
      </c>
      <c r="Y14" s="21"/>
    </row>
    <row r="15" spans="2:25" ht="20.25" customHeight="1" x14ac:dyDescent="0.3">
      <c r="B15" s="59" t="s">
        <v>22</v>
      </c>
      <c r="C15" s="410"/>
      <c r="D15" s="58" t="s">
        <v>23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276"/>
      <c r="W15" s="79"/>
      <c r="Y15" s="18"/>
    </row>
    <row r="16" spans="2:25" ht="17.25" customHeight="1" x14ac:dyDescent="0.3">
      <c r="B16" s="13" t="s">
        <v>24</v>
      </c>
      <c r="C16" s="416">
        <v>1596</v>
      </c>
      <c r="D16" s="302" t="s">
        <v>28</v>
      </c>
      <c r="E16" s="23">
        <v>30</v>
      </c>
      <c r="F16" s="118"/>
      <c r="G16" s="204" t="s">
        <v>141</v>
      </c>
      <c r="H16" s="23">
        <v>30</v>
      </c>
      <c r="I16" s="205" t="s">
        <v>142</v>
      </c>
      <c r="J16" s="183">
        <v>30</v>
      </c>
      <c r="K16" s="205" t="s">
        <v>143</v>
      </c>
      <c r="L16" s="23">
        <v>30</v>
      </c>
      <c r="M16" s="205" t="s">
        <v>144</v>
      </c>
      <c r="N16" s="23">
        <v>100</v>
      </c>
      <c r="O16" s="205" t="s">
        <v>145</v>
      </c>
      <c r="P16" s="183">
        <v>73</v>
      </c>
      <c r="Q16" s="205" t="s">
        <v>146</v>
      </c>
      <c r="R16" s="183">
        <v>73</v>
      </c>
      <c r="S16" s="205" t="s">
        <v>147</v>
      </c>
      <c r="T16" s="23">
        <v>30</v>
      </c>
      <c r="U16" s="205" t="s">
        <v>148</v>
      </c>
      <c r="V16" s="277">
        <v>100</v>
      </c>
      <c r="Y16" s="18"/>
    </row>
    <row r="17" spans="2:26" ht="20.25" customHeight="1" x14ac:dyDescent="0.3">
      <c r="B17" s="13" t="s">
        <v>32</v>
      </c>
      <c r="C17" s="306" t="s">
        <v>33</v>
      </c>
      <c r="D17" s="165">
        <v>81</v>
      </c>
      <c r="E17" s="14">
        <v>100</v>
      </c>
      <c r="F17" s="118"/>
      <c r="G17" s="182">
        <v>81</v>
      </c>
      <c r="H17" s="183">
        <v>100</v>
      </c>
      <c r="I17" s="183">
        <v>84</v>
      </c>
      <c r="J17" s="183">
        <v>100</v>
      </c>
      <c r="K17" s="183">
        <v>84</v>
      </c>
      <c r="L17" s="183">
        <v>100</v>
      </c>
      <c r="M17" s="183">
        <v>80</v>
      </c>
      <c r="N17" s="183">
        <v>73</v>
      </c>
      <c r="O17" s="183">
        <v>80</v>
      </c>
      <c r="P17" s="183">
        <v>73</v>
      </c>
      <c r="Q17" s="183">
        <v>78</v>
      </c>
      <c r="R17" s="183">
        <v>30</v>
      </c>
      <c r="S17" s="183">
        <v>79</v>
      </c>
      <c r="T17" s="183">
        <v>73</v>
      </c>
      <c r="U17" s="183">
        <v>83</v>
      </c>
      <c r="V17" s="278">
        <v>100</v>
      </c>
      <c r="Y17" s="18"/>
    </row>
    <row r="18" spans="2:26" ht="20.25" customHeight="1" x14ac:dyDescent="0.3">
      <c r="B18" s="400" t="s">
        <v>34</v>
      </c>
      <c r="C18" s="358" t="s">
        <v>108</v>
      </c>
      <c r="D18" s="358" t="s">
        <v>38</v>
      </c>
      <c r="E18" s="317">
        <v>73</v>
      </c>
      <c r="F18" s="359"/>
      <c r="G18" s="306" t="s">
        <v>149</v>
      </c>
      <c r="H18" s="319">
        <v>73</v>
      </c>
      <c r="I18" s="306" t="s">
        <v>150</v>
      </c>
      <c r="J18" s="321">
        <v>100</v>
      </c>
      <c r="K18" s="306" t="s">
        <v>151</v>
      </c>
      <c r="L18" s="319">
        <v>73</v>
      </c>
      <c r="M18" s="306" t="s">
        <v>152</v>
      </c>
      <c r="N18" s="319">
        <v>73</v>
      </c>
      <c r="O18" s="306" t="s">
        <v>111</v>
      </c>
      <c r="P18" s="319">
        <v>73</v>
      </c>
      <c r="Q18" s="306" t="s">
        <v>153</v>
      </c>
      <c r="R18" s="319">
        <v>73</v>
      </c>
      <c r="S18" s="306" t="s">
        <v>113</v>
      </c>
      <c r="T18" s="344"/>
      <c r="U18" s="306" t="s">
        <v>154</v>
      </c>
      <c r="V18" s="321">
        <v>100</v>
      </c>
    </row>
    <row r="19" spans="2:26" ht="18" customHeight="1" x14ac:dyDescent="0.3">
      <c r="B19" s="13" t="s">
        <v>42</v>
      </c>
      <c r="C19" s="384">
        <v>0.16500000000000001</v>
      </c>
      <c r="D19" s="168">
        <v>0.16800000000000001</v>
      </c>
      <c r="E19" s="14">
        <v>30</v>
      </c>
      <c r="F19" s="117"/>
      <c r="G19" s="185">
        <v>0.158</v>
      </c>
      <c r="H19" s="14">
        <v>100</v>
      </c>
      <c r="I19" s="186">
        <v>0.14699999999999999</v>
      </c>
      <c r="J19" s="23">
        <v>100</v>
      </c>
      <c r="K19" s="177">
        <v>0.128</v>
      </c>
      <c r="L19" s="23">
        <v>100</v>
      </c>
      <c r="M19" s="186">
        <v>0.19800000000000001</v>
      </c>
      <c r="N19" s="23">
        <v>30</v>
      </c>
      <c r="O19" s="186">
        <v>0.224</v>
      </c>
      <c r="P19" s="14">
        <v>30</v>
      </c>
      <c r="Q19" s="186">
        <v>0.161</v>
      </c>
      <c r="R19" s="14">
        <v>100</v>
      </c>
      <c r="S19" s="177">
        <v>0.19400000000000001</v>
      </c>
      <c r="T19" s="14">
        <v>100</v>
      </c>
      <c r="U19" s="186">
        <v>0.14899999999999999</v>
      </c>
      <c r="V19" s="279">
        <v>100</v>
      </c>
    </row>
    <row r="20" spans="2:26" ht="20.25" customHeight="1" x14ac:dyDescent="0.3">
      <c r="B20" s="62" t="s">
        <v>44</v>
      </c>
      <c r="C20" s="349"/>
      <c r="D20" s="61" t="s">
        <v>45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280"/>
      <c r="W20" s="79"/>
    </row>
    <row r="21" spans="2:26" ht="20.25" customHeight="1" x14ac:dyDescent="0.3">
      <c r="B21" s="72" t="s">
        <v>46</v>
      </c>
      <c r="C21" s="358" t="s">
        <v>155</v>
      </c>
      <c r="D21" s="306" t="s">
        <v>50</v>
      </c>
      <c r="E21" s="19">
        <v>73</v>
      </c>
      <c r="F21" s="113"/>
      <c r="G21" s="207" t="s">
        <v>50</v>
      </c>
      <c r="H21" s="19">
        <v>73</v>
      </c>
      <c r="I21" s="207" t="s">
        <v>50</v>
      </c>
      <c r="J21" s="19">
        <v>73</v>
      </c>
      <c r="K21" s="207" t="s">
        <v>50</v>
      </c>
      <c r="L21" s="19">
        <v>73</v>
      </c>
      <c r="M21" s="207" t="s">
        <v>50</v>
      </c>
      <c r="N21" s="19">
        <v>73</v>
      </c>
      <c r="O21" s="420" t="s">
        <v>50</v>
      </c>
      <c r="P21" s="313">
        <v>73</v>
      </c>
      <c r="Q21" s="207" t="s">
        <v>50</v>
      </c>
      <c r="R21" s="19">
        <v>73</v>
      </c>
      <c r="S21" s="207" t="s">
        <v>50</v>
      </c>
      <c r="T21" s="19">
        <v>73</v>
      </c>
      <c r="U21" s="207" t="s">
        <v>50</v>
      </c>
      <c r="V21" s="281">
        <v>73</v>
      </c>
      <c r="W21" s="11"/>
    </row>
    <row r="22" spans="2:26" ht="20.25" customHeight="1" x14ac:dyDescent="0.3">
      <c r="B22" s="72" t="s">
        <v>54</v>
      </c>
      <c r="C22" s="358" t="s">
        <v>108</v>
      </c>
      <c r="D22" s="23">
        <v>54</v>
      </c>
      <c r="E22" s="23">
        <v>30</v>
      </c>
      <c r="F22" s="146"/>
      <c r="G22" s="210">
        <v>47</v>
      </c>
      <c r="H22" s="306">
        <v>30</v>
      </c>
      <c r="I22" s="211">
        <v>29</v>
      </c>
      <c r="J22" s="23">
        <v>30</v>
      </c>
      <c r="K22" s="212">
        <v>55</v>
      </c>
      <c r="L22" s="306">
        <v>30</v>
      </c>
      <c r="M22" s="212">
        <v>56</v>
      </c>
      <c r="N22" s="23">
        <v>30</v>
      </c>
      <c r="O22" s="211">
        <v>49</v>
      </c>
      <c r="P22" s="23">
        <v>30</v>
      </c>
      <c r="Q22" s="211">
        <v>49</v>
      </c>
      <c r="R22" s="23">
        <v>30</v>
      </c>
      <c r="S22" s="213">
        <v>66</v>
      </c>
      <c r="T22" s="313">
        <v>73</v>
      </c>
      <c r="U22" s="212">
        <v>71</v>
      </c>
      <c r="V22" s="355">
        <v>73</v>
      </c>
      <c r="W22" s="11"/>
    </row>
    <row r="23" spans="2:26" ht="20.25" customHeight="1" x14ac:dyDescent="0.3">
      <c r="B23" s="72" t="s">
        <v>55</v>
      </c>
      <c r="C23" s="358" t="s">
        <v>108</v>
      </c>
      <c r="D23" s="23">
        <v>56</v>
      </c>
      <c r="E23" s="23">
        <v>30</v>
      </c>
      <c r="F23" s="146"/>
      <c r="G23" s="210">
        <v>46</v>
      </c>
      <c r="H23" s="23">
        <v>30</v>
      </c>
      <c r="I23" s="211">
        <v>96</v>
      </c>
      <c r="J23" s="14">
        <v>100</v>
      </c>
      <c r="K23" s="212">
        <v>84</v>
      </c>
      <c r="L23" s="14">
        <v>100</v>
      </c>
      <c r="M23" s="212">
        <v>60</v>
      </c>
      <c r="N23" s="306">
        <v>30</v>
      </c>
      <c r="O23" s="211">
        <v>31</v>
      </c>
      <c r="P23" s="23">
        <v>30</v>
      </c>
      <c r="Q23" s="211">
        <v>87</v>
      </c>
      <c r="R23" s="303">
        <v>100</v>
      </c>
      <c r="S23" s="212">
        <v>82</v>
      </c>
      <c r="T23" s="303">
        <v>100</v>
      </c>
      <c r="U23" s="212">
        <v>16</v>
      </c>
      <c r="V23" s="277">
        <v>30</v>
      </c>
      <c r="W23" s="11"/>
    </row>
    <row r="24" spans="2:26" ht="27.65" customHeight="1" x14ac:dyDescent="0.3">
      <c r="B24" s="13" t="s">
        <v>56</v>
      </c>
      <c r="C24" s="358" t="s">
        <v>108</v>
      </c>
      <c r="D24" s="23">
        <v>75</v>
      </c>
      <c r="E24" s="303">
        <v>100</v>
      </c>
      <c r="F24" s="146"/>
      <c r="G24" s="210">
        <v>75</v>
      </c>
      <c r="H24" s="303">
        <v>100</v>
      </c>
      <c r="I24" s="211">
        <v>75</v>
      </c>
      <c r="J24" s="14">
        <v>100</v>
      </c>
      <c r="K24" s="210">
        <v>75</v>
      </c>
      <c r="L24" s="303">
        <v>100</v>
      </c>
      <c r="M24" s="210">
        <v>75</v>
      </c>
      <c r="N24" s="303">
        <v>100</v>
      </c>
      <c r="O24" s="211">
        <v>0</v>
      </c>
      <c r="P24" s="23">
        <v>30</v>
      </c>
      <c r="Q24" s="210">
        <v>75</v>
      </c>
      <c r="R24" s="303">
        <v>100</v>
      </c>
      <c r="S24" s="210">
        <v>75</v>
      </c>
      <c r="T24" s="303">
        <v>100</v>
      </c>
      <c r="U24" s="210">
        <v>75</v>
      </c>
      <c r="V24" s="303">
        <v>100</v>
      </c>
      <c r="W24" s="11"/>
    </row>
    <row r="25" spans="2:26" ht="20.25" customHeight="1" x14ac:dyDescent="0.3">
      <c r="B25" s="68" t="s">
        <v>57</v>
      </c>
      <c r="C25" s="405"/>
      <c r="D25" s="67" t="s">
        <v>58</v>
      </c>
      <c r="E25" s="65"/>
      <c r="F25" s="65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282"/>
      <c r="W25" s="80"/>
    </row>
    <row r="26" spans="2:26" ht="20.25" customHeight="1" x14ac:dyDescent="0.3">
      <c r="B26" s="13" t="s">
        <v>59</v>
      </c>
      <c r="C26" s="358" t="s">
        <v>119</v>
      </c>
      <c r="D26" s="166">
        <v>1</v>
      </c>
      <c r="E26" s="14">
        <v>100</v>
      </c>
      <c r="F26" s="126"/>
      <c r="G26" s="230">
        <v>1</v>
      </c>
      <c r="H26" s="14">
        <v>100</v>
      </c>
      <c r="I26" s="231">
        <v>1</v>
      </c>
      <c r="J26" s="14">
        <v>100</v>
      </c>
      <c r="K26" s="231">
        <v>1</v>
      </c>
      <c r="L26" s="14">
        <v>100</v>
      </c>
      <c r="M26" s="231">
        <v>1</v>
      </c>
      <c r="N26" s="14">
        <v>100</v>
      </c>
      <c r="O26" s="231">
        <v>1</v>
      </c>
      <c r="P26" s="14">
        <v>100</v>
      </c>
      <c r="Q26" s="231">
        <v>1</v>
      </c>
      <c r="R26" s="14">
        <v>100</v>
      </c>
      <c r="S26" s="231">
        <v>1</v>
      </c>
      <c r="T26" s="14">
        <v>100</v>
      </c>
      <c r="U26" s="194">
        <v>1</v>
      </c>
      <c r="V26" s="283">
        <v>100</v>
      </c>
    </row>
    <row r="27" spans="2:26" ht="20.25" customHeight="1" x14ac:dyDescent="0.3">
      <c r="B27" s="13" t="s">
        <v>61</v>
      </c>
      <c r="C27" s="358" t="s">
        <v>121</v>
      </c>
      <c r="D27" s="166">
        <v>0.75</v>
      </c>
      <c r="E27" s="19">
        <v>73</v>
      </c>
      <c r="F27" s="126"/>
      <c r="G27" s="182">
        <v>0</v>
      </c>
      <c r="H27" s="23">
        <v>30</v>
      </c>
      <c r="I27" s="231">
        <v>1</v>
      </c>
      <c r="J27" s="14">
        <v>100</v>
      </c>
      <c r="K27" s="231">
        <v>1</v>
      </c>
      <c r="L27" s="14">
        <v>100</v>
      </c>
      <c r="M27" s="231">
        <v>1</v>
      </c>
      <c r="N27" s="14">
        <v>100</v>
      </c>
      <c r="O27" s="231">
        <v>1</v>
      </c>
      <c r="P27" s="14">
        <v>100</v>
      </c>
      <c r="Q27" s="231">
        <v>1</v>
      </c>
      <c r="R27" s="14">
        <v>100</v>
      </c>
      <c r="S27" s="231">
        <v>1</v>
      </c>
      <c r="T27" s="14">
        <v>100</v>
      </c>
      <c r="U27" s="192">
        <v>0</v>
      </c>
      <c r="V27" s="277">
        <v>30</v>
      </c>
    </row>
    <row r="28" spans="2:26" ht="20.25" customHeight="1" x14ac:dyDescent="0.3">
      <c r="B28" s="13" t="s">
        <v>63</v>
      </c>
      <c r="C28" s="306" t="s">
        <v>64</v>
      </c>
      <c r="D28" s="166">
        <v>1</v>
      </c>
      <c r="E28" s="14">
        <v>100</v>
      </c>
      <c r="F28" s="127"/>
      <c r="G28" s="179">
        <v>0.49</v>
      </c>
      <c r="H28" s="14">
        <v>100</v>
      </c>
      <c r="I28" s="180">
        <v>0.42</v>
      </c>
      <c r="J28" s="14">
        <v>100</v>
      </c>
      <c r="K28" s="180">
        <v>0.34</v>
      </c>
      <c r="L28" s="14">
        <v>100</v>
      </c>
      <c r="M28" s="180">
        <v>0.38</v>
      </c>
      <c r="N28" s="14">
        <v>100</v>
      </c>
      <c r="O28" s="180">
        <v>0.34</v>
      </c>
      <c r="P28" s="14">
        <v>100</v>
      </c>
      <c r="Q28" s="180">
        <v>0.45</v>
      </c>
      <c r="R28" s="14">
        <v>100</v>
      </c>
      <c r="S28" s="180">
        <v>0.4</v>
      </c>
      <c r="T28" s="14">
        <v>100</v>
      </c>
      <c r="U28" s="193">
        <v>0.37</v>
      </c>
      <c r="V28" s="283">
        <v>100</v>
      </c>
      <c r="W28" s="92"/>
    </row>
    <row r="29" spans="2:26" ht="37.5" x14ac:dyDescent="0.3">
      <c r="B29" s="360" t="s">
        <v>65</v>
      </c>
      <c r="C29" s="306" t="s">
        <v>66</v>
      </c>
      <c r="D29" s="166">
        <f>5/8</f>
        <v>0.625</v>
      </c>
      <c r="E29" s="313">
        <v>73</v>
      </c>
      <c r="F29" s="153"/>
      <c r="G29" s="179">
        <v>4.33</v>
      </c>
      <c r="H29" s="14">
        <v>100</v>
      </c>
      <c r="I29" s="180">
        <v>3.89</v>
      </c>
      <c r="J29" s="14">
        <v>100</v>
      </c>
      <c r="K29" s="180">
        <v>3.89</v>
      </c>
      <c r="L29" s="14">
        <v>100</v>
      </c>
      <c r="M29" s="180">
        <v>3.7</v>
      </c>
      <c r="N29" s="23">
        <v>30</v>
      </c>
      <c r="O29" s="180">
        <v>4.74</v>
      </c>
      <c r="P29" s="23">
        <v>30</v>
      </c>
      <c r="Q29" s="180">
        <v>4.25</v>
      </c>
      <c r="R29" s="14">
        <v>100</v>
      </c>
      <c r="S29" s="180">
        <v>4.0599999999999996</v>
      </c>
      <c r="T29" s="23">
        <v>30</v>
      </c>
      <c r="U29" s="180">
        <v>4.03</v>
      </c>
      <c r="V29" s="283">
        <v>100</v>
      </c>
    </row>
    <row r="30" spans="2:26" ht="37.5" x14ac:dyDescent="0.3">
      <c r="B30" s="360" t="s">
        <v>67</v>
      </c>
      <c r="C30" s="306" t="s">
        <v>66</v>
      </c>
      <c r="D30" s="166">
        <v>1</v>
      </c>
      <c r="E30" s="23">
        <v>100</v>
      </c>
      <c r="F30" s="153"/>
      <c r="G30" s="179">
        <v>0.77</v>
      </c>
      <c r="H30" s="14">
        <v>100</v>
      </c>
      <c r="I30" s="180">
        <v>0.77</v>
      </c>
      <c r="J30" s="14">
        <v>100</v>
      </c>
      <c r="K30" s="180">
        <v>0.81</v>
      </c>
      <c r="L30" s="14">
        <v>100</v>
      </c>
      <c r="M30" s="180">
        <v>0.81</v>
      </c>
      <c r="N30" s="14">
        <v>100</v>
      </c>
      <c r="O30" s="314">
        <v>0.85</v>
      </c>
      <c r="P30" s="14">
        <v>100</v>
      </c>
      <c r="Q30" s="180">
        <v>0.82</v>
      </c>
      <c r="R30" s="14">
        <v>100</v>
      </c>
      <c r="S30" s="180">
        <v>0.82</v>
      </c>
      <c r="T30" s="14">
        <v>100</v>
      </c>
      <c r="U30" s="180">
        <v>0.76</v>
      </c>
      <c r="V30" s="14">
        <v>100</v>
      </c>
      <c r="W30" s="80"/>
      <c r="X30" s="14"/>
      <c r="Z30" s="19"/>
    </row>
    <row r="31" spans="2:26" ht="20.25" customHeight="1" x14ac:dyDescent="0.3">
      <c r="B31" s="71" t="s">
        <v>68</v>
      </c>
      <c r="C31" s="413"/>
      <c r="D31" s="70" t="s">
        <v>69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284"/>
    </row>
    <row r="32" spans="2:26" ht="20.25" customHeight="1" x14ac:dyDescent="0.3">
      <c r="B32" s="13" t="s">
        <v>70</v>
      </c>
      <c r="C32" s="382">
        <v>256.19</v>
      </c>
      <c r="D32" s="165" t="s">
        <v>74</v>
      </c>
      <c r="E32" s="14">
        <v>100</v>
      </c>
      <c r="F32" s="111"/>
      <c r="G32" s="266" t="s">
        <v>156</v>
      </c>
      <c r="H32" s="14">
        <v>100</v>
      </c>
      <c r="I32" s="266" t="s">
        <v>157</v>
      </c>
      <c r="J32" s="14">
        <v>100</v>
      </c>
      <c r="K32" s="266" t="s">
        <v>158</v>
      </c>
      <c r="L32" s="303">
        <v>100</v>
      </c>
      <c r="M32" s="266" t="s">
        <v>159</v>
      </c>
      <c r="N32" s="23">
        <v>30</v>
      </c>
      <c r="O32" s="266" t="s">
        <v>160</v>
      </c>
      <c r="P32" s="14">
        <v>100</v>
      </c>
      <c r="Q32" s="266" t="s">
        <v>161</v>
      </c>
      <c r="R32" s="14">
        <v>30</v>
      </c>
      <c r="S32" s="266" t="s">
        <v>162</v>
      </c>
      <c r="T32" s="14">
        <v>100</v>
      </c>
      <c r="U32" s="266" t="s">
        <v>163</v>
      </c>
      <c r="V32" s="283">
        <v>100</v>
      </c>
    </row>
    <row r="33" spans="2:23" ht="20.25" customHeight="1" x14ac:dyDescent="0.3">
      <c r="B33" s="360" t="s">
        <v>78</v>
      </c>
      <c r="C33" s="377"/>
      <c r="D33" s="169">
        <v>8.3000000000000004E-2</v>
      </c>
      <c r="E33" s="14">
        <v>100</v>
      </c>
      <c r="F33" s="152"/>
      <c r="G33" s="196">
        <v>5.1999999999999998E-2</v>
      </c>
      <c r="H33" s="303">
        <v>100</v>
      </c>
      <c r="I33" s="197">
        <v>6.8000000000000005E-2</v>
      </c>
      <c r="J33" s="303">
        <v>100</v>
      </c>
      <c r="K33" s="197">
        <v>6.3E-2</v>
      </c>
      <c r="L33" s="303">
        <v>100</v>
      </c>
      <c r="M33" s="197">
        <v>-1E-3</v>
      </c>
      <c r="N33" s="306">
        <v>30</v>
      </c>
      <c r="O33" s="197">
        <v>0.16500000000000001</v>
      </c>
      <c r="P33" s="303">
        <v>100</v>
      </c>
      <c r="Q33" s="197">
        <v>0.04</v>
      </c>
      <c r="R33" s="303">
        <v>100</v>
      </c>
      <c r="S33" s="197">
        <v>0.13900000000000001</v>
      </c>
      <c r="T33" s="303">
        <v>100</v>
      </c>
      <c r="U33" s="197">
        <v>7.3999999999999996E-2</v>
      </c>
      <c r="V33" s="303">
        <v>100</v>
      </c>
      <c r="W33" s="101"/>
    </row>
    <row r="34" spans="2:23" ht="20.25" customHeight="1" x14ac:dyDescent="0.3">
      <c r="B34" s="64" t="s">
        <v>80</v>
      </c>
      <c r="C34" s="414"/>
      <c r="D34" s="130" t="s">
        <v>81</v>
      </c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</row>
    <row r="35" spans="2:23" ht="20.25" customHeight="1" x14ac:dyDescent="0.3">
      <c r="B35" s="13" t="s">
        <v>82</v>
      </c>
      <c r="C35" s="385">
        <v>0.8</v>
      </c>
      <c r="D35" s="26">
        <v>0.82799999999999996</v>
      </c>
      <c r="E35" s="14">
        <v>100</v>
      </c>
      <c r="F35" s="119"/>
      <c r="G35" s="198">
        <v>0.84099999999999997</v>
      </c>
      <c r="H35" s="14">
        <v>100</v>
      </c>
      <c r="I35" s="199">
        <v>0.745</v>
      </c>
      <c r="J35" s="23">
        <v>30</v>
      </c>
      <c r="K35" s="199">
        <v>0.84099999999999997</v>
      </c>
      <c r="L35" s="23">
        <v>30</v>
      </c>
      <c r="M35" s="200">
        <v>0.89700000000000002</v>
      </c>
      <c r="N35" s="14">
        <v>100</v>
      </c>
      <c r="O35" s="310">
        <v>0.74399999999999999</v>
      </c>
      <c r="P35" s="14">
        <v>100</v>
      </c>
      <c r="Q35" s="199">
        <v>0.81100000000000005</v>
      </c>
      <c r="R35" s="14">
        <v>100</v>
      </c>
      <c r="S35" s="199" t="s">
        <v>113</v>
      </c>
      <c r="T35" s="199"/>
      <c r="U35" s="199">
        <v>0.86099999999999999</v>
      </c>
      <c r="V35" s="201">
        <v>100</v>
      </c>
    </row>
    <row r="36" spans="2:23" x14ac:dyDescent="0.3">
      <c r="B36" s="363" t="s">
        <v>84</v>
      </c>
      <c r="C36" s="363"/>
      <c r="D36" s="387">
        <f>IFERROR(COUNTIF(E12:E35,"&gt;=74")/COUNTIFS(E12:E35,"&gt;0",E12:E35,"&lt;&gt;N/A"),0)</f>
        <v>0.57894736842105265</v>
      </c>
      <c r="E36" s="363"/>
      <c r="F36" s="363"/>
      <c r="G36" s="389">
        <f>IFERROR(COUNTIF(H12:H35,"&gt;=74")/COUNTIFS(H12:H35,"&gt;0",H12:H35,"&lt;&gt;N/A"),0)</f>
        <v>0.68421052631578949</v>
      </c>
      <c r="H36" s="363"/>
      <c r="I36" s="387">
        <f>IFERROR(COUNTIF(J12:J35,"&gt;=74")/COUNTIFS(J12:J35,"&gt;0",J12:J35,"&lt;&gt;N/A"),0)</f>
        <v>0.73684210526315785</v>
      </c>
      <c r="J36" s="363"/>
      <c r="K36" s="387">
        <f>IFERROR(COUNTIF(L12:L35,"&gt;=74")/COUNTIFS(L12:L35,"&gt;0",L12:L35,"&lt;&gt;N/A"),0)</f>
        <v>0.68421052631578949</v>
      </c>
      <c r="L36" s="363"/>
      <c r="M36" s="387">
        <f>IFERROR(COUNTIF(N12:N35,"&gt;=74")/COUNTIFS(N12:N35,"&gt;0",N12:N35,"&lt;&gt;N/A"),0)</f>
        <v>0.52631578947368418</v>
      </c>
      <c r="N36" s="363"/>
      <c r="O36" s="387">
        <f>IFERROR(COUNTIF(P12:P35,"&gt;=74")/COUNTIFS(P12:P35,"&gt;0",P12:P35,"&lt;&gt;N/A"),0)</f>
        <v>0.52631578947368418</v>
      </c>
      <c r="P36" s="363"/>
      <c r="Q36" s="387">
        <f>IFERROR(COUNTIF(R12:R35,"&gt;=74")/COUNTIFS(R12:R35,"&gt;0",R12:R35,"&lt;&gt;N/A"),0)</f>
        <v>0.63157894736842102</v>
      </c>
      <c r="R36" s="363"/>
      <c r="S36" s="387">
        <f>IFERROR(COUNTIF(T12:T35,"&gt;=74")/COUNTIFS(T12:T35,"&gt;0",T12:T35,"&lt;&gt;N/A"),0)</f>
        <v>0.70588235294117652</v>
      </c>
      <c r="T36" s="363"/>
      <c r="U36" s="387">
        <f>IFERROR(COUNTIF(V12:V35,"&gt;=74")/COUNTIFS(V12:V35,"&gt;0",V12:V35,"&lt;&gt;N/A"),0)</f>
        <v>0.73684210526315785</v>
      </c>
      <c r="V36" s="363"/>
    </row>
    <row r="37" spans="2:23" ht="29.25" customHeight="1" x14ac:dyDescent="0.3">
      <c r="B37" s="363" t="s">
        <v>122</v>
      </c>
      <c r="C37" s="363"/>
      <c r="D37" s="387"/>
      <c r="E37" s="363"/>
      <c r="F37" s="363"/>
      <c r="G37" s="474" t="s">
        <v>164</v>
      </c>
      <c r="H37" s="474"/>
      <c r="I37" s="474" t="s">
        <v>165</v>
      </c>
      <c r="J37" s="474"/>
      <c r="K37" s="474" t="s">
        <v>166</v>
      </c>
      <c r="L37" s="474"/>
      <c r="M37" s="471" t="s">
        <v>167</v>
      </c>
      <c r="N37" s="471"/>
      <c r="O37" s="474" t="s">
        <v>168</v>
      </c>
      <c r="P37" s="474"/>
      <c r="Q37" s="471" t="s">
        <v>169</v>
      </c>
      <c r="R37" s="471"/>
      <c r="S37" s="471" t="s">
        <v>170</v>
      </c>
      <c r="T37" s="471"/>
      <c r="U37" s="471" t="s">
        <v>171</v>
      </c>
      <c r="V37" s="471"/>
    </row>
    <row r="38" spans="2:23" x14ac:dyDescent="0.3">
      <c r="B38" s="363" t="s">
        <v>132</v>
      </c>
      <c r="C38" s="363"/>
      <c r="D38" s="387"/>
      <c r="E38" s="363"/>
      <c r="F38" s="363"/>
      <c r="G38" s="472">
        <v>45725</v>
      </c>
      <c r="H38" s="472"/>
      <c r="I38" s="472">
        <v>45711</v>
      </c>
      <c r="J38" s="472"/>
      <c r="K38" s="472">
        <v>45697</v>
      </c>
      <c r="L38" s="472"/>
      <c r="M38" s="472">
        <v>43536</v>
      </c>
      <c r="N38" s="472"/>
      <c r="O38" s="472">
        <v>46075</v>
      </c>
      <c r="P38" s="472"/>
      <c r="Q38" s="473">
        <v>45669</v>
      </c>
      <c r="R38" s="473"/>
      <c r="S38" s="473">
        <v>45053</v>
      </c>
      <c r="T38" s="473"/>
      <c r="U38" s="472">
        <v>45935</v>
      </c>
      <c r="V38" s="472"/>
    </row>
    <row r="39" spans="2:23" ht="16.5" x14ac:dyDescent="0.3">
      <c r="D39" s="388"/>
    </row>
    <row r="40" spans="2:23" x14ac:dyDescent="0.3">
      <c r="C40" s="150"/>
    </row>
  </sheetData>
  <mergeCells count="26">
    <mergeCell ref="Q6:R6"/>
    <mergeCell ref="S6:T6"/>
    <mergeCell ref="U6:V6"/>
    <mergeCell ref="B1:E1"/>
    <mergeCell ref="E6:F6"/>
    <mergeCell ref="G6:H6"/>
    <mergeCell ref="I6:J6"/>
    <mergeCell ref="K6:L6"/>
    <mergeCell ref="M6:N6"/>
    <mergeCell ref="O6:P6"/>
    <mergeCell ref="Q37:R37"/>
    <mergeCell ref="S37:T37"/>
    <mergeCell ref="U37:V37"/>
    <mergeCell ref="G38:H38"/>
    <mergeCell ref="I38:J38"/>
    <mergeCell ref="K38:L38"/>
    <mergeCell ref="M38:N38"/>
    <mergeCell ref="O38:P38"/>
    <mergeCell ref="Q38:R38"/>
    <mergeCell ref="S38:T38"/>
    <mergeCell ref="U38:V38"/>
    <mergeCell ref="G37:H37"/>
    <mergeCell ref="I37:J37"/>
    <mergeCell ref="K37:L37"/>
    <mergeCell ref="M37:N37"/>
    <mergeCell ref="O37:P37"/>
  </mergeCells>
  <conditionalFormatting sqref="E12">
    <cfRule type="iconSet" priority="313">
      <iconSet showValue="0">
        <cfvo type="percent" val="0"/>
        <cfvo type="num" val="69"/>
        <cfvo type="num" val="78"/>
      </iconSet>
    </cfRule>
    <cfRule type="iconSet" priority="314">
      <iconSet showValue="0">
        <cfvo type="percent" val="0"/>
        <cfvo type="num" val="69"/>
        <cfvo type="num" val="78"/>
      </iconSet>
    </cfRule>
  </conditionalFormatting>
  <conditionalFormatting sqref="E13">
    <cfRule type="iconSet" priority="312">
      <iconSet showValue="0">
        <cfvo type="percent" val="0"/>
        <cfvo type="num" val="69"/>
        <cfvo type="num" val="78"/>
      </iconSet>
    </cfRule>
    <cfRule type="iconSet" priority="311">
      <iconSet showValue="0">
        <cfvo type="percent" val="0"/>
        <cfvo type="num" val="69"/>
        <cfvo type="num" val="78"/>
      </iconSet>
    </cfRule>
  </conditionalFormatting>
  <conditionalFormatting sqref="E14">
    <cfRule type="iconSet" priority="309">
      <iconSet showValue="0">
        <cfvo type="percent" val="0"/>
        <cfvo type="num" val="69"/>
        <cfvo type="num" val="78"/>
      </iconSet>
    </cfRule>
    <cfRule type="iconSet" priority="310">
      <iconSet showValue="0">
        <cfvo type="percent" val="0"/>
        <cfvo type="num" val="69"/>
        <cfvo type="num" val="78"/>
      </iconSet>
    </cfRule>
  </conditionalFormatting>
  <conditionalFormatting sqref="E16">
    <cfRule type="iconSet" priority="293">
      <iconSet showValue="0">
        <cfvo type="percent" val="0"/>
        <cfvo type="num" val="50"/>
        <cfvo type="num" val="50"/>
      </iconSet>
    </cfRule>
  </conditionalFormatting>
  <conditionalFormatting sqref="E17">
    <cfRule type="iconSet" priority="308">
      <iconSet showValue="0">
        <cfvo type="percent" val="0"/>
        <cfvo type="num" val="69"/>
        <cfvo type="num" val="78"/>
      </iconSet>
    </cfRule>
    <cfRule type="iconSet" priority="307">
      <iconSet showValue="0">
        <cfvo type="percent" val="0"/>
        <cfvo type="num" val="69"/>
        <cfvo type="num" val="78"/>
      </iconSet>
    </cfRule>
  </conditionalFormatting>
  <conditionalFormatting sqref="E18">
    <cfRule type="iconSet" priority="2">
      <iconSet showValue="0">
        <cfvo type="percent" val="0"/>
        <cfvo type="num" val="69"/>
        <cfvo type="num" val="78"/>
      </iconSet>
    </cfRule>
    <cfRule type="iconSet" priority="3">
      <iconSet showValue="0">
        <cfvo type="percent" val="0"/>
        <cfvo type="num" val="69"/>
        <cfvo type="num" val="78"/>
      </iconSet>
    </cfRule>
  </conditionalFormatting>
  <conditionalFormatting sqref="E19">
    <cfRule type="iconSet" priority="305">
      <iconSet showValue="0">
        <cfvo type="percent" val="0"/>
        <cfvo type="num" val="69"/>
        <cfvo type="num" val="78"/>
      </iconSet>
    </cfRule>
    <cfRule type="iconSet" priority="306">
      <iconSet showValue="0">
        <cfvo type="percent" val="0"/>
        <cfvo type="num" val="69"/>
        <cfvo type="num" val="78"/>
      </iconSet>
    </cfRule>
  </conditionalFormatting>
  <conditionalFormatting sqref="E21">
    <cfRule type="iconSet" priority="296">
      <iconSet showValue="0">
        <cfvo type="percent" val="0"/>
        <cfvo type="num" val="70"/>
        <cfvo type="num" val="75"/>
      </iconSet>
    </cfRule>
  </conditionalFormatting>
  <conditionalFormatting sqref="E22">
    <cfRule type="iconSet" priority="292">
      <iconSet showValue="0">
        <cfvo type="percent" val="0"/>
        <cfvo type="num" val="50"/>
        <cfvo type="num" val="50"/>
      </iconSet>
    </cfRule>
  </conditionalFormatting>
  <conditionalFormatting sqref="E23">
    <cfRule type="iconSet" priority="291">
      <iconSet showValue="0">
        <cfvo type="percent" val="0"/>
        <cfvo type="num" val="50"/>
        <cfvo type="num" val="50"/>
      </iconSet>
    </cfRule>
  </conditionalFormatting>
  <conditionalFormatting sqref="E24">
    <cfRule type="iconSet" priority="33">
      <iconSet showValue="0">
        <cfvo type="percent" val="0"/>
        <cfvo type="num" val="69"/>
        <cfvo type="num" val="78"/>
      </iconSet>
    </cfRule>
    <cfRule type="iconSet" priority="34">
      <iconSet showValue="0">
        <cfvo type="percent" val="0"/>
        <cfvo type="num" val="69"/>
        <cfvo type="num" val="78"/>
      </iconSet>
    </cfRule>
  </conditionalFormatting>
  <conditionalFormatting sqref="E26">
    <cfRule type="iconSet" priority="303">
      <iconSet showValue="0">
        <cfvo type="percent" val="0"/>
        <cfvo type="num" val="69"/>
        <cfvo type="num" val="78"/>
      </iconSet>
    </cfRule>
    <cfRule type="iconSet" priority="304">
      <iconSet showValue="0">
        <cfvo type="percent" val="0"/>
        <cfvo type="num" val="69"/>
        <cfvo type="num" val="78"/>
      </iconSet>
    </cfRule>
  </conditionalFormatting>
  <conditionalFormatting sqref="E27">
    <cfRule type="iconSet" priority="294">
      <iconSet showValue="0">
        <cfvo type="percent" val="0"/>
        <cfvo type="num" val="70"/>
        <cfvo type="num" val="75"/>
      </iconSet>
    </cfRule>
  </conditionalFormatting>
  <conditionalFormatting sqref="E28">
    <cfRule type="iconSet" priority="302">
      <iconSet showValue="0">
        <cfvo type="percent" val="0"/>
        <cfvo type="num" val="69"/>
        <cfvo type="num" val="78"/>
      </iconSet>
    </cfRule>
    <cfRule type="iconSet" priority="301">
      <iconSet showValue="0">
        <cfvo type="percent" val="0"/>
        <cfvo type="num" val="69"/>
        <cfvo type="num" val="78"/>
      </iconSet>
    </cfRule>
  </conditionalFormatting>
  <conditionalFormatting sqref="E29">
    <cfRule type="iconSet" priority="53">
      <iconSet showValue="0">
        <cfvo type="percent" val="0"/>
        <cfvo type="num" val="70"/>
        <cfvo type="num" val="75"/>
      </iconSet>
    </cfRule>
  </conditionalFormatting>
  <conditionalFormatting sqref="E30">
    <cfRule type="iconSet" priority="107">
      <iconSet showValue="0">
        <cfvo type="percent" val="0"/>
        <cfvo type="num" val="50"/>
        <cfvo type="num" val="50"/>
      </iconSet>
    </cfRule>
  </conditionalFormatting>
  <conditionalFormatting sqref="E32:E33">
    <cfRule type="iconSet" priority="300">
      <iconSet showValue="0">
        <cfvo type="percent" val="0"/>
        <cfvo type="num" val="69"/>
        <cfvo type="num" val="78"/>
      </iconSet>
    </cfRule>
    <cfRule type="iconSet" priority="299">
      <iconSet showValue="0">
        <cfvo type="percent" val="0"/>
        <cfvo type="num" val="69"/>
        <cfvo type="num" val="78"/>
      </iconSet>
    </cfRule>
  </conditionalFormatting>
  <conditionalFormatting sqref="E35">
    <cfRule type="iconSet" priority="297">
      <iconSet showValue="0">
        <cfvo type="percent" val="0"/>
        <cfvo type="num" val="69"/>
        <cfvo type="num" val="78"/>
      </iconSet>
    </cfRule>
    <cfRule type="iconSet" priority="298">
      <iconSet showValue="0">
        <cfvo type="percent" val="0"/>
        <cfvo type="num" val="69"/>
        <cfvo type="num" val="78"/>
      </iconSet>
    </cfRule>
  </conditionalFormatting>
  <conditionalFormatting sqref="H12">
    <cfRule type="iconSet" priority="1243">
      <iconSet showValue="0">
        <cfvo type="percent" val="0"/>
        <cfvo type="num" val="69"/>
        <cfvo type="num" val="78"/>
      </iconSet>
    </cfRule>
    <cfRule type="iconSet" priority="1244">
      <iconSet showValue="0">
        <cfvo type="percent" val="0"/>
        <cfvo type="num" val="69"/>
        <cfvo type="num" val="78"/>
      </iconSet>
    </cfRule>
  </conditionalFormatting>
  <conditionalFormatting sqref="H13">
    <cfRule type="iconSet" priority="167">
      <iconSet showValue="0">
        <cfvo type="percent" val="0"/>
        <cfvo type="num" val="69"/>
        <cfvo type="num" val="78"/>
      </iconSet>
    </cfRule>
    <cfRule type="iconSet" priority="166">
      <iconSet showValue="0">
        <cfvo type="percent" val="0"/>
        <cfvo type="num" val="69"/>
        <cfvo type="num" val="78"/>
      </iconSet>
    </cfRule>
  </conditionalFormatting>
  <conditionalFormatting sqref="H14">
    <cfRule type="iconSet" priority="168">
      <iconSet showValue="0">
        <cfvo type="percent" val="0"/>
        <cfvo type="num" val="67"/>
        <cfvo type="num" val="75"/>
      </iconSet>
    </cfRule>
  </conditionalFormatting>
  <conditionalFormatting sqref="H16">
    <cfRule type="iconSet" priority="114">
      <iconSet showValue="0">
        <cfvo type="percent" val="0"/>
        <cfvo type="num" val="50"/>
        <cfvo type="num" val="50"/>
      </iconSet>
    </cfRule>
  </conditionalFormatting>
  <conditionalFormatting sqref="H17">
    <cfRule type="iconSet" priority="1245">
      <iconSet showValue="0">
        <cfvo type="percent" val="0"/>
        <cfvo type="percent" val="78"/>
        <cfvo type="percent" val="78"/>
      </iconSet>
    </cfRule>
  </conditionalFormatting>
  <conditionalFormatting sqref="H18">
    <cfRule type="iconSet" priority="12">
      <iconSet showValue="0">
        <cfvo type="percent" val="0"/>
        <cfvo type="num" val="69"/>
        <cfvo type="num" val="78"/>
      </iconSet>
    </cfRule>
    <cfRule type="iconSet" priority="13">
      <iconSet showValue="0">
        <cfvo type="percent" val="0"/>
        <cfvo type="num" val="69"/>
        <cfvo type="num" val="78"/>
      </iconSet>
    </cfRule>
  </conditionalFormatting>
  <conditionalFormatting sqref="H19">
    <cfRule type="iconSet" priority="288">
      <iconSet showValue="0">
        <cfvo type="percent" val="0"/>
        <cfvo type="num" val="69"/>
        <cfvo type="num" val="78"/>
      </iconSet>
    </cfRule>
    <cfRule type="iconSet" priority="289">
      <iconSet showValue="0">
        <cfvo type="percent" val="0"/>
        <cfvo type="num" val="69"/>
        <cfvo type="num" val="78"/>
      </iconSet>
    </cfRule>
  </conditionalFormatting>
  <conditionalFormatting sqref="H21">
    <cfRule type="iconSet" priority="278">
      <iconSet showValue="0">
        <cfvo type="percent" val="0"/>
        <cfvo type="num" val="70"/>
        <cfvo type="num" val="75"/>
      </iconSet>
    </cfRule>
  </conditionalFormatting>
  <conditionalFormatting sqref="H22:H23">
    <cfRule type="iconSet" priority="275">
      <iconSet showValue="0">
        <cfvo type="percent" val="0"/>
        <cfvo type="num" val="50"/>
        <cfvo type="num" val="50"/>
      </iconSet>
    </cfRule>
  </conditionalFormatting>
  <conditionalFormatting sqref="H24">
    <cfRule type="iconSet" priority="31">
      <iconSet showValue="0">
        <cfvo type="percent" val="0"/>
        <cfvo type="num" val="69"/>
        <cfvo type="num" val="78"/>
      </iconSet>
    </cfRule>
    <cfRule type="iconSet" priority="32">
      <iconSet showValue="0">
        <cfvo type="percent" val="0"/>
        <cfvo type="num" val="69"/>
        <cfvo type="num" val="78"/>
      </iconSet>
    </cfRule>
  </conditionalFormatting>
  <conditionalFormatting sqref="H26">
    <cfRule type="iconSet" priority="245">
      <iconSet showValue="0">
        <cfvo type="percent" val="0"/>
        <cfvo type="num" val="69"/>
        <cfvo type="num" val="78"/>
      </iconSet>
    </cfRule>
    <cfRule type="iconSet" priority="246">
      <iconSet showValue="0">
        <cfvo type="percent" val="0"/>
        <cfvo type="num" val="69"/>
        <cfvo type="num" val="78"/>
      </iconSet>
    </cfRule>
  </conditionalFormatting>
  <conditionalFormatting sqref="H27">
    <cfRule type="iconSet" priority="194">
      <iconSet showValue="0">
        <cfvo type="percent" val="0"/>
        <cfvo type="num" val="50"/>
        <cfvo type="num" val="50"/>
      </iconSet>
    </cfRule>
  </conditionalFormatting>
  <conditionalFormatting sqref="H28:H30">
    <cfRule type="iconSet" priority="193">
      <iconSet showValue="0">
        <cfvo type="percent" val="0"/>
        <cfvo type="num" val="69"/>
        <cfvo type="num" val="78"/>
      </iconSet>
    </cfRule>
    <cfRule type="iconSet" priority="192">
      <iconSet showValue="0">
        <cfvo type="percent" val="0"/>
        <cfvo type="num" val="69"/>
        <cfvo type="num" val="78"/>
      </iconSet>
    </cfRule>
  </conditionalFormatting>
  <conditionalFormatting sqref="H32:H33">
    <cfRule type="iconSet" priority="130">
      <iconSet showValue="0">
        <cfvo type="percent" val="0"/>
        <cfvo type="num" val="69"/>
        <cfvo type="num" val="78"/>
      </iconSet>
    </cfRule>
    <cfRule type="iconSet" priority="129">
      <iconSet showValue="0">
        <cfvo type="percent" val="0"/>
        <cfvo type="num" val="69"/>
        <cfvo type="num" val="78"/>
      </iconSet>
    </cfRule>
  </conditionalFormatting>
  <conditionalFormatting sqref="H35">
    <cfRule type="iconSet" priority="66">
      <iconSet showValue="0">
        <cfvo type="percent" val="0"/>
        <cfvo type="num" val="69"/>
        <cfvo type="num" val="78"/>
      </iconSet>
    </cfRule>
    <cfRule type="iconSet" priority="65">
      <iconSet showValue="0">
        <cfvo type="percent" val="0"/>
        <cfvo type="num" val="69"/>
        <cfvo type="num" val="78"/>
      </iconSet>
    </cfRule>
  </conditionalFormatting>
  <conditionalFormatting sqref="J12:J13">
    <cfRule type="iconSet" priority="164">
      <iconSet showValue="0">
        <cfvo type="percent" val="0"/>
        <cfvo type="num" val="69"/>
        <cfvo type="num" val="78"/>
      </iconSet>
    </cfRule>
    <cfRule type="iconSet" priority="165">
      <iconSet showValue="0">
        <cfvo type="percent" val="0"/>
        <cfvo type="num" val="69"/>
        <cfvo type="num" val="78"/>
      </iconSet>
    </cfRule>
  </conditionalFormatting>
  <conditionalFormatting sqref="J14">
    <cfRule type="iconSet" priority="162">
      <iconSet showValue="0">
        <cfvo type="percent" val="0"/>
        <cfvo type="num" val="69"/>
        <cfvo type="num" val="78"/>
      </iconSet>
    </cfRule>
    <cfRule type="iconSet" priority="163">
      <iconSet showValue="0">
        <cfvo type="percent" val="0"/>
        <cfvo type="num" val="69"/>
        <cfvo type="num" val="78"/>
      </iconSet>
    </cfRule>
  </conditionalFormatting>
  <conditionalFormatting sqref="J16:J17">
    <cfRule type="iconSet" priority="1204">
      <iconSet showValue="0">
        <cfvo type="percent" val="0"/>
        <cfvo type="percent" val="78"/>
        <cfvo type="percent" val="78"/>
      </iconSet>
    </cfRule>
  </conditionalFormatting>
  <conditionalFormatting sqref="J18">
    <cfRule type="iconSet" priority="16">
      <iconSet showValue="0">
        <cfvo type="percent" val="0"/>
        <cfvo type="num" val="69"/>
        <cfvo type="num" val="78"/>
      </iconSet>
    </cfRule>
    <cfRule type="iconSet" priority="17">
      <iconSet showValue="0">
        <cfvo type="percent" val="0"/>
        <cfvo type="num" val="69"/>
        <cfvo type="num" val="78"/>
      </iconSet>
    </cfRule>
  </conditionalFormatting>
  <conditionalFormatting sqref="J19">
    <cfRule type="iconSet" priority="287">
      <iconSet showValue="0">
        <cfvo type="percent" val="0"/>
        <cfvo type="num" val="50"/>
        <cfvo type="num" val="50"/>
      </iconSet>
    </cfRule>
  </conditionalFormatting>
  <conditionalFormatting sqref="J21">
    <cfRule type="iconSet" priority="273">
      <iconSet showValue="0">
        <cfvo type="percent" val="0"/>
        <cfvo type="num" val="70"/>
        <cfvo type="num" val="75"/>
      </iconSet>
    </cfRule>
  </conditionalFormatting>
  <conditionalFormatting sqref="J22">
    <cfRule type="iconSet" priority="272">
      <iconSet showValue="0">
        <cfvo type="percent" val="0"/>
        <cfvo type="num" val="50"/>
        <cfvo type="num" val="50"/>
      </iconSet>
    </cfRule>
  </conditionalFormatting>
  <conditionalFormatting sqref="J23">
    <cfRule type="iconSet" priority="39">
      <iconSet showValue="0">
        <cfvo type="percent" val="0"/>
        <cfvo type="num" val="69"/>
        <cfvo type="num" val="78"/>
      </iconSet>
    </cfRule>
    <cfRule type="iconSet" priority="40">
      <iconSet showValue="0">
        <cfvo type="percent" val="0"/>
        <cfvo type="num" val="69"/>
        <cfvo type="num" val="78"/>
      </iconSet>
    </cfRule>
  </conditionalFormatting>
  <conditionalFormatting sqref="J24">
    <cfRule type="iconSet" priority="38">
      <iconSet showValue="0">
        <cfvo type="percent" val="0"/>
        <cfvo type="num" val="69"/>
        <cfvo type="num" val="78"/>
      </iconSet>
    </cfRule>
    <cfRule type="iconSet" priority="37">
      <iconSet showValue="0">
        <cfvo type="percent" val="0"/>
        <cfvo type="num" val="69"/>
        <cfvo type="num" val="78"/>
      </iconSet>
    </cfRule>
  </conditionalFormatting>
  <conditionalFormatting sqref="J26:J28">
    <cfRule type="iconSet" priority="243">
      <iconSet showValue="0">
        <cfvo type="percent" val="0"/>
        <cfvo type="num" val="69"/>
        <cfvo type="num" val="78"/>
      </iconSet>
    </cfRule>
    <cfRule type="iconSet" priority="244">
      <iconSet showValue="0">
        <cfvo type="percent" val="0"/>
        <cfvo type="num" val="69"/>
        <cfvo type="num" val="78"/>
      </iconSet>
    </cfRule>
  </conditionalFormatting>
  <conditionalFormatting sqref="J29">
    <cfRule type="iconSet" priority="81">
      <iconSet showValue="0">
        <cfvo type="percent" val="0"/>
        <cfvo type="num" val="69"/>
        <cfvo type="num" val="78"/>
      </iconSet>
    </cfRule>
    <cfRule type="iconSet" priority="82">
      <iconSet showValue="0">
        <cfvo type="percent" val="0"/>
        <cfvo type="num" val="69"/>
        <cfvo type="num" val="78"/>
      </iconSet>
    </cfRule>
  </conditionalFormatting>
  <conditionalFormatting sqref="J30">
    <cfRule type="iconSet" priority="79">
      <iconSet showValue="0">
        <cfvo type="percent" val="0"/>
        <cfvo type="num" val="69"/>
        <cfvo type="num" val="78"/>
      </iconSet>
    </cfRule>
    <cfRule type="iconSet" priority="80">
      <iconSet showValue="0">
        <cfvo type="percent" val="0"/>
        <cfvo type="num" val="69"/>
        <cfvo type="num" val="78"/>
      </iconSet>
    </cfRule>
  </conditionalFormatting>
  <conditionalFormatting sqref="J32">
    <cfRule type="iconSet" priority="128">
      <iconSet showValue="0">
        <cfvo type="percent" val="0"/>
        <cfvo type="num" val="69"/>
        <cfvo type="num" val="78"/>
      </iconSet>
    </cfRule>
    <cfRule type="iconSet" priority="127">
      <iconSet showValue="0">
        <cfvo type="percent" val="0"/>
        <cfvo type="num" val="69"/>
        <cfvo type="num" val="78"/>
      </iconSet>
    </cfRule>
  </conditionalFormatting>
  <conditionalFormatting sqref="J33">
    <cfRule type="iconSet" priority="51">
      <iconSet showValue="0">
        <cfvo type="percent" val="0"/>
        <cfvo type="num" val="69"/>
        <cfvo type="num" val="78"/>
      </iconSet>
    </cfRule>
    <cfRule type="iconSet" priority="52">
      <iconSet showValue="0">
        <cfvo type="percent" val="0"/>
        <cfvo type="num" val="69"/>
        <cfvo type="num" val="78"/>
      </iconSet>
    </cfRule>
  </conditionalFormatting>
  <conditionalFormatting sqref="J35">
    <cfRule type="iconSet" priority="64">
      <iconSet showValue="0">
        <cfvo type="percent" val="0"/>
        <cfvo type="num" val="50"/>
        <cfvo type="num" val="50"/>
      </iconSet>
    </cfRule>
  </conditionalFormatting>
  <conditionalFormatting sqref="L12:L13">
    <cfRule type="iconSet" priority="160">
      <iconSet showValue="0">
        <cfvo type="percent" val="0"/>
        <cfvo type="num" val="69"/>
        <cfvo type="num" val="78"/>
      </iconSet>
    </cfRule>
    <cfRule type="iconSet" priority="161">
      <iconSet showValue="0">
        <cfvo type="percent" val="0"/>
        <cfvo type="num" val="69"/>
        <cfvo type="num" val="78"/>
      </iconSet>
    </cfRule>
  </conditionalFormatting>
  <conditionalFormatting sqref="L14">
    <cfRule type="iconSet" priority="159">
      <iconSet showValue="0">
        <cfvo type="percent" val="0"/>
        <cfvo type="num" val="69"/>
        <cfvo type="num" val="78"/>
      </iconSet>
    </cfRule>
    <cfRule type="iconSet" priority="158">
      <iconSet showValue="0">
        <cfvo type="percent" val="0"/>
        <cfvo type="num" val="69"/>
        <cfvo type="num" val="78"/>
      </iconSet>
    </cfRule>
  </conditionalFormatting>
  <conditionalFormatting sqref="L16">
    <cfRule type="iconSet" priority="112">
      <iconSet showValue="0">
        <cfvo type="percent" val="0"/>
        <cfvo type="num" val="50"/>
        <cfvo type="num" val="50"/>
      </iconSet>
    </cfRule>
  </conditionalFormatting>
  <conditionalFormatting sqref="L17">
    <cfRule type="iconSet" priority="1160">
      <iconSet showValue="0">
        <cfvo type="percent" val="0"/>
        <cfvo type="percent" val="78"/>
        <cfvo type="percent" val="78"/>
      </iconSet>
    </cfRule>
  </conditionalFormatting>
  <conditionalFormatting sqref="L18">
    <cfRule type="iconSet" priority="10">
      <iconSet showValue="0">
        <cfvo type="percent" val="0"/>
        <cfvo type="num" val="69"/>
        <cfvo type="num" val="78"/>
      </iconSet>
    </cfRule>
    <cfRule type="iconSet" priority="11">
      <iconSet showValue="0">
        <cfvo type="percent" val="0"/>
        <cfvo type="num" val="69"/>
        <cfvo type="num" val="78"/>
      </iconSet>
    </cfRule>
  </conditionalFormatting>
  <conditionalFormatting sqref="L19">
    <cfRule type="iconSet" priority="286">
      <iconSet showValue="0">
        <cfvo type="percent" val="0"/>
        <cfvo type="num" val="50"/>
        <cfvo type="num" val="50"/>
      </iconSet>
    </cfRule>
  </conditionalFormatting>
  <conditionalFormatting sqref="L21">
    <cfRule type="iconSet" priority="270">
      <iconSet showValue="0">
        <cfvo type="percent" val="0"/>
        <cfvo type="num" val="70"/>
        <cfvo type="num" val="75"/>
      </iconSet>
    </cfRule>
  </conditionalFormatting>
  <conditionalFormatting sqref="L22">
    <cfRule type="iconSet" priority="30">
      <iconSet showValue="0">
        <cfvo type="percent" val="0"/>
        <cfvo type="num" val="50"/>
        <cfvo type="num" val="50"/>
      </iconSet>
    </cfRule>
  </conditionalFormatting>
  <conditionalFormatting sqref="L23:L24">
    <cfRule type="iconSet" priority="36">
      <iconSet showValue="0">
        <cfvo type="percent" val="0"/>
        <cfvo type="num" val="69"/>
        <cfvo type="num" val="78"/>
      </iconSet>
    </cfRule>
    <cfRule type="iconSet" priority="35">
      <iconSet showValue="0">
        <cfvo type="percent" val="0"/>
        <cfvo type="num" val="69"/>
        <cfvo type="num" val="78"/>
      </iconSet>
    </cfRule>
  </conditionalFormatting>
  <conditionalFormatting sqref="L26">
    <cfRule type="iconSet" priority="242">
      <iconSet showValue="0">
        <cfvo type="percent" val="0"/>
        <cfvo type="num" val="69"/>
        <cfvo type="num" val="78"/>
      </iconSet>
    </cfRule>
    <cfRule type="iconSet" priority="241">
      <iconSet showValue="0">
        <cfvo type="percent" val="0"/>
        <cfvo type="num" val="69"/>
        <cfvo type="num" val="78"/>
      </iconSet>
    </cfRule>
  </conditionalFormatting>
  <conditionalFormatting sqref="L27:L29">
    <cfRule type="iconSet" priority="202">
      <iconSet showValue="0">
        <cfvo type="percent" val="0"/>
        <cfvo type="num" val="69"/>
        <cfvo type="num" val="78"/>
      </iconSet>
    </cfRule>
    <cfRule type="iconSet" priority="203">
      <iconSet showValue="0">
        <cfvo type="percent" val="0"/>
        <cfvo type="num" val="69"/>
        <cfvo type="num" val="78"/>
      </iconSet>
    </cfRule>
  </conditionalFormatting>
  <conditionalFormatting sqref="L30">
    <cfRule type="iconSet" priority="78">
      <iconSet showValue="0">
        <cfvo type="percent" val="0"/>
        <cfvo type="num" val="69"/>
        <cfvo type="num" val="78"/>
      </iconSet>
    </cfRule>
    <cfRule type="iconSet" priority="77">
      <iconSet showValue="0">
        <cfvo type="percent" val="0"/>
        <cfvo type="num" val="69"/>
        <cfvo type="num" val="78"/>
      </iconSet>
    </cfRule>
  </conditionalFormatting>
  <conditionalFormatting sqref="L32">
    <cfRule type="iconSet" priority="42">
      <iconSet showValue="0">
        <cfvo type="percent" val="0"/>
        <cfvo type="num" val="69"/>
        <cfvo type="num" val="78"/>
      </iconSet>
    </cfRule>
    <cfRule type="iconSet" priority="41">
      <iconSet showValue="0">
        <cfvo type="percent" val="0"/>
        <cfvo type="num" val="69"/>
        <cfvo type="num" val="78"/>
      </iconSet>
    </cfRule>
  </conditionalFormatting>
  <conditionalFormatting sqref="L33">
    <cfRule type="iconSet" priority="49">
      <iconSet showValue="0">
        <cfvo type="percent" val="0"/>
        <cfvo type="num" val="69"/>
        <cfvo type="num" val="78"/>
      </iconSet>
    </cfRule>
    <cfRule type="iconSet" priority="50">
      <iconSet showValue="0">
        <cfvo type="percent" val="0"/>
        <cfvo type="num" val="69"/>
        <cfvo type="num" val="78"/>
      </iconSet>
    </cfRule>
  </conditionalFormatting>
  <conditionalFormatting sqref="L35">
    <cfRule type="iconSet" priority="63">
      <iconSet showValue="0">
        <cfvo type="percent" val="0"/>
        <cfvo type="num" val="50"/>
        <cfvo type="num" val="50"/>
      </iconSet>
    </cfRule>
  </conditionalFormatting>
  <conditionalFormatting sqref="N12">
    <cfRule type="iconSet" priority="1113">
      <iconSet showValue="0">
        <cfvo type="percent" val="0"/>
        <cfvo type="num" val="69"/>
        <cfvo type="num" val="78"/>
      </iconSet>
    </cfRule>
    <cfRule type="iconSet" priority="1114">
      <iconSet showValue="0">
        <cfvo type="percent" val="0"/>
        <cfvo type="num" val="69"/>
        <cfvo type="num" val="78"/>
      </iconSet>
    </cfRule>
  </conditionalFormatting>
  <conditionalFormatting sqref="N13">
    <cfRule type="iconSet" priority="157">
      <iconSet showValue="0">
        <cfvo type="percent" val="0"/>
        <cfvo type="num" val="69"/>
        <cfvo type="num" val="78"/>
      </iconSet>
    </cfRule>
    <cfRule type="iconSet" priority="156">
      <iconSet showValue="0">
        <cfvo type="percent" val="0"/>
        <cfvo type="num" val="69"/>
        <cfvo type="num" val="78"/>
      </iconSet>
    </cfRule>
  </conditionalFormatting>
  <conditionalFormatting sqref="N14">
    <cfRule type="iconSet" priority="155">
      <iconSet showValue="0">
        <cfvo type="percent" val="0"/>
        <cfvo type="num" val="67"/>
        <cfvo type="num" val="75"/>
      </iconSet>
    </cfRule>
  </conditionalFormatting>
  <conditionalFormatting sqref="N16">
    <cfRule type="iconSet" priority="111">
      <iconSet showValue="0">
        <cfvo type="percent" val="0"/>
        <cfvo type="num" val="50"/>
        <cfvo type="num" val="50"/>
      </iconSet>
    </cfRule>
  </conditionalFormatting>
  <conditionalFormatting sqref="N17">
    <cfRule type="iconSet" priority="116">
      <iconSet showValue="0">
        <cfvo type="percent" val="0"/>
        <cfvo type="num" val="50"/>
        <cfvo type="num" val="100"/>
      </iconSet>
    </cfRule>
  </conditionalFormatting>
  <conditionalFormatting sqref="N18">
    <cfRule type="iconSet" priority="9">
      <iconSet showValue="0">
        <cfvo type="percent" val="0"/>
        <cfvo type="num" val="69"/>
        <cfvo type="num" val="78"/>
      </iconSet>
    </cfRule>
    <cfRule type="iconSet" priority="8">
      <iconSet showValue="0">
        <cfvo type="percent" val="0"/>
        <cfvo type="num" val="69"/>
        <cfvo type="num" val="78"/>
      </iconSet>
    </cfRule>
  </conditionalFormatting>
  <conditionalFormatting sqref="N19">
    <cfRule type="iconSet" priority="285">
      <iconSet showValue="0">
        <cfvo type="percent" val="0"/>
        <cfvo type="num" val="50"/>
        <cfvo type="num" val="50"/>
      </iconSet>
    </cfRule>
  </conditionalFormatting>
  <conditionalFormatting sqref="N21">
    <cfRule type="iconSet" priority="267">
      <iconSet showValue="0">
        <cfvo type="percent" val="0"/>
        <cfvo type="num" val="70"/>
        <cfvo type="num" val="75"/>
      </iconSet>
    </cfRule>
  </conditionalFormatting>
  <conditionalFormatting sqref="N22:N23">
    <cfRule type="iconSet" priority="265">
      <iconSet showValue="0">
        <cfvo type="percent" val="0"/>
        <cfvo type="num" val="50"/>
        <cfvo type="num" val="50"/>
      </iconSet>
    </cfRule>
  </conditionalFormatting>
  <conditionalFormatting sqref="N24">
    <cfRule type="iconSet" priority="28">
      <iconSet showValue="0">
        <cfvo type="percent" val="0"/>
        <cfvo type="num" val="69"/>
        <cfvo type="num" val="78"/>
      </iconSet>
    </cfRule>
    <cfRule type="iconSet" priority="29">
      <iconSet showValue="0">
        <cfvo type="percent" val="0"/>
        <cfvo type="num" val="69"/>
        <cfvo type="num" val="78"/>
      </iconSet>
    </cfRule>
  </conditionalFormatting>
  <conditionalFormatting sqref="N26">
    <cfRule type="iconSet" priority="239">
      <iconSet showValue="0">
        <cfvo type="percent" val="0"/>
        <cfvo type="num" val="69"/>
        <cfvo type="num" val="78"/>
      </iconSet>
    </cfRule>
    <cfRule type="iconSet" priority="240">
      <iconSet showValue="0">
        <cfvo type="percent" val="0"/>
        <cfvo type="num" val="69"/>
        <cfvo type="num" val="78"/>
      </iconSet>
    </cfRule>
  </conditionalFormatting>
  <conditionalFormatting sqref="N27:N28">
    <cfRule type="iconSet" priority="200">
      <iconSet showValue="0">
        <cfvo type="percent" val="0"/>
        <cfvo type="num" val="69"/>
        <cfvo type="num" val="78"/>
      </iconSet>
    </cfRule>
    <cfRule type="iconSet" priority="201">
      <iconSet showValue="0">
        <cfvo type="percent" val="0"/>
        <cfvo type="num" val="69"/>
        <cfvo type="num" val="78"/>
      </iconSet>
    </cfRule>
  </conditionalFormatting>
  <conditionalFormatting sqref="N29">
    <cfRule type="iconSet" priority="188">
      <iconSet showValue="0">
        <cfvo type="percent" val="0"/>
        <cfvo type="num" val="50"/>
        <cfvo type="num" val="50"/>
      </iconSet>
    </cfRule>
  </conditionalFormatting>
  <conditionalFormatting sqref="N30">
    <cfRule type="iconSet" priority="76">
      <iconSet showValue="0">
        <cfvo type="percent" val="0"/>
        <cfvo type="num" val="69"/>
        <cfvo type="num" val="78"/>
      </iconSet>
    </cfRule>
    <cfRule type="iconSet" priority="75">
      <iconSet showValue="0">
        <cfvo type="percent" val="0"/>
        <cfvo type="num" val="69"/>
        <cfvo type="num" val="78"/>
      </iconSet>
    </cfRule>
  </conditionalFormatting>
  <conditionalFormatting sqref="N32:N33">
    <cfRule type="iconSet" priority="117">
      <iconSet showValue="0">
        <cfvo type="percent" val="0"/>
        <cfvo type="num" val="50"/>
        <cfvo type="num" val="50"/>
      </iconSet>
    </cfRule>
  </conditionalFormatting>
  <conditionalFormatting sqref="N35">
    <cfRule type="iconSet" priority="62">
      <iconSet showValue="0">
        <cfvo type="percent" val="0"/>
        <cfvo type="num" val="69"/>
        <cfvo type="num" val="78"/>
      </iconSet>
    </cfRule>
    <cfRule type="iconSet" priority="61">
      <iconSet showValue="0">
        <cfvo type="percent" val="0"/>
        <cfvo type="num" val="69"/>
        <cfvo type="num" val="78"/>
      </iconSet>
    </cfRule>
  </conditionalFormatting>
  <conditionalFormatting sqref="P12:P13">
    <cfRule type="iconSet" priority="142">
      <iconSet showValue="0">
        <cfvo type="percent" val="0"/>
        <cfvo type="num" val="69"/>
        <cfvo type="num" val="78"/>
      </iconSet>
    </cfRule>
    <cfRule type="iconSet" priority="143">
      <iconSet showValue="0">
        <cfvo type="percent" val="0"/>
        <cfvo type="num" val="69"/>
        <cfvo type="num" val="78"/>
      </iconSet>
    </cfRule>
  </conditionalFormatting>
  <conditionalFormatting sqref="P14">
    <cfRule type="iconSet" priority="141">
      <iconSet showValue="0">
        <cfvo type="percent" val="0"/>
        <cfvo type="num" val="67"/>
        <cfvo type="num" val="75"/>
      </iconSet>
    </cfRule>
  </conditionalFormatting>
  <conditionalFormatting sqref="P16:P17">
    <cfRule type="iconSet" priority="181">
      <iconSet showValue="0">
        <cfvo type="percent" val="0"/>
        <cfvo type="num" val="50"/>
        <cfvo type="num" val="100"/>
      </iconSet>
    </cfRule>
  </conditionalFormatting>
  <conditionalFormatting sqref="P18">
    <cfRule type="iconSet" priority="6">
      <iconSet showValue="0">
        <cfvo type="percent" val="0"/>
        <cfvo type="num" val="69"/>
        <cfvo type="num" val="78"/>
      </iconSet>
    </cfRule>
    <cfRule type="iconSet" priority="7">
      <iconSet showValue="0">
        <cfvo type="percent" val="0"/>
        <cfvo type="num" val="69"/>
        <cfvo type="num" val="78"/>
      </iconSet>
    </cfRule>
  </conditionalFormatting>
  <conditionalFormatting sqref="P19">
    <cfRule type="iconSet" priority="178">
      <iconSet showValue="0">
        <cfvo type="percent" val="0"/>
        <cfvo type="num" val="69"/>
        <cfvo type="num" val="78"/>
      </iconSet>
    </cfRule>
    <cfRule type="iconSet" priority="179">
      <iconSet showValue="0">
        <cfvo type="percent" val="0"/>
        <cfvo type="num" val="69"/>
        <cfvo type="num" val="78"/>
      </iconSet>
    </cfRule>
  </conditionalFormatting>
  <conditionalFormatting sqref="P21">
    <cfRule type="iconSet" priority="1">
      <iconSet showValue="0">
        <cfvo type="percent" val="0"/>
        <cfvo type="num" val="70"/>
        <cfvo type="num" val="75"/>
      </iconSet>
    </cfRule>
  </conditionalFormatting>
  <conditionalFormatting sqref="P22">
    <cfRule type="iconSet" priority="173">
      <iconSet showValue="0">
        <cfvo type="percent" val="0"/>
        <cfvo type="num" val="50"/>
        <cfvo type="num" val="50"/>
      </iconSet>
    </cfRule>
  </conditionalFormatting>
  <conditionalFormatting sqref="P23">
    <cfRule type="iconSet" priority="172">
      <iconSet showValue="0">
        <cfvo type="percent" val="0"/>
        <cfvo type="num" val="50"/>
        <cfvo type="num" val="50"/>
      </iconSet>
    </cfRule>
  </conditionalFormatting>
  <conditionalFormatting sqref="P24">
    <cfRule type="iconSet" priority="174">
      <iconSet showValue="0">
        <cfvo type="percent" val="0"/>
        <cfvo type="num" val="50"/>
        <cfvo type="num" val="50"/>
      </iconSet>
    </cfRule>
  </conditionalFormatting>
  <conditionalFormatting sqref="P26:P27">
    <cfRule type="iconSet" priority="176">
      <iconSet showValue="0">
        <cfvo type="percent" val="0"/>
        <cfvo type="num" val="69"/>
        <cfvo type="num" val="78"/>
      </iconSet>
    </cfRule>
    <cfRule type="iconSet" priority="177">
      <iconSet showValue="0">
        <cfvo type="percent" val="0"/>
        <cfvo type="num" val="69"/>
        <cfvo type="num" val="78"/>
      </iconSet>
    </cfRule>
  </conditionalFormatting>
  <conditionalFormatting sqref="P28">
    <cfRule type="iconSet" priority="171">
      <iconSet showValue="0">
        <cfvo type="percent" val="0"/>
        <cfvo type="num" val="69"/>
        <cfvo type="num" val="78"/>
      </iconSet>
    </cfRule>
    <cfRule type="iconSet" priority="170">
      <iconSet showValue="0">
        <cfvo type="percent" val="0"/>
        <cfvo type="num" val="69"/>
        <cfvo type="num" val="78"/>
      </iconSet>
    </cfRule>
  </conditionalFormatting>
  <conditionalFormatting sqref="P29">
    <cfRule type="iconSet" priority="169">
      <iconSet showValue="0">
        <cfvo type="percent" val="0"/>
        <cfvo type="num" val="50"/>
        <cfvo type="num" val="50"/>
      </iconSet>
    </cfRule>
  </conditionalFormatting>
  <conditionalFormatting sqref="P30">
    <cfRule type="iconSet" priority="74">
      <iconSet showValue="0">
        <cfvo type="percent" val="0"/>
        <cfvo type="num" val="69"/>
        <cfvo type="num" val="78"/>
      </iconSet>
    </cfRule>
    <cfRule type="iconSet" priority="73">
      <iconSet showValue="0">
        <cfvo type="percent" val="0"/>
        <cfvo type="num" val="69"/>
        <cfvo type="num" val="78"/>
      </iconSet>
    </cfRule>
  </conditionalFormatting>
  <conditionalFormatting sqref="P32:P33">
    <cfRule type="iconSet" priority="126">
      <iconSet showValue="0">
        <cfvo type="percent" val="0"/>
        <cfvo type="num" val="69"/>
        <cfvo type="num" val="78"/>
      </iconSet>
    </cfRule>
    <cfRule type="iconSet" priority="125">
      <iconSet showValue="0">
        <cfvo type="percent" val="0"/>
        <cfvo type="num" val="69"/>
        <cfvo type="num" val="78"/>
      </iconSet>
    </cfRule>
  </conditionalFormatting>
  <conditionalFormatting sqref="P35">
    <cfRule type="iconSet" priority="60">
      <iconSet showValue="0">
        <cfvo type="percent" val="0"/>
        <cfvo type="num" val="69"/>
        <cfvo type="num" val="78"/>
      </iconSet>
    </cfRule>
    <cfRule type="iconSet" priority="59">
      <iconSet showValue="0">
        <cfvo type="percent" val="0"/>
        <cfvo type="num" val="69"/>
        <cfvo type="num" val="78"/>
      </iconSet>
    </cfRule>
  </conditionalFormatting>
  <conditionalFormatting sqref="R12:R13">
    <cfRule type="iconSet" priority="154">
      <iconSet showValue="0">
        <cfvo type="percent" val="0"/>
        <cfvo type="num" val="69"/>
        <cfvo type="num" val="78"/>
      </iconSet>
    </cfRule>
    <cfRule type="iconSet" priority="153">
      <iconSet showValue="0">
        <cfvo type="percent" val="0"/>
        <cfvo type="num" val="69"/>
        <cfvo type="num" val="78"/>
      </iconSet>
    </cfRule>
  </conditionalFormatting>
  <conditionalFormatting sqref="R14">
    <cfRule type="iconSet" priority="151">
      <iconSet showValue="0">
        <cfvo type="percent" val="0"/>
        <cfvo type="num" val="69"/>
        <cfvo type="num" val="78"/>
      </iconSet>
    </cfRule>
    <cfRule type="iconSet" priority="152">
      <iconSet showValue="0">
        <cfvo type="percent" val="0"/>
        <cfvo type="num" val="69"/>
        <cfvo type="num" val="78"/>
      </iconSet>
    </cfRule>
  </conditionalFormatting>
  <conditionalFormatting sqref="R16">
    <cfRule type="iconSet" priority="54">
      <iconSet showValue="0">
        <cfvo type="percent" val="0"/>
        <cfvo type="num" val="50"/>
        <cfvo type="num" val="100"/>
      </iconSet>
    </cfRule>
  </conditionalFormatting>
  <conditionalFormatting sqref="R17">
    <cfRule type="iconSet" priority="56">
      <iconSet showValue="0">
        <cfvo type="percent" val="0"/>
        <cfvo type="num" val="50"/>
        <cfvo type="num" val="100"/>
      </iconSet>
    </cfRule>
  </conditionalFormatting>
  <conditionalFormatting sqref="R18">
    <cfRule type="iconSet" priority="4">
      <iconSet showValue="0">
        <cfvo type="percent" val="0"/>
        <cfvo type="num" val="69"/>
        <cfvo type="num" val="78"/>
      </iconSet>
    </cfRule>
    <cfRule type="iconSet" priority="5">
      <iconSet showValue="0">
        <cfvo type="percent" val="0"/>
        <cfvo type="num" val="69"/>
        <cfvo type="num" val="78"/>
      </iconSet>
    </cfRule>
  </conditionalFormatting>
  <conditionalFormatting sqref="R19">
    <cfRule type="iconSet" priority="284">
      <iconSet showValue="0">
        <cfvo type="percent" val="0"/>
        <cfvo type="num" val="69"/>
        <cfvo type="num" val="78"/>
      </iconSet>
    </cfRule>
    <cfRule type="iconSet" priority="283">
      <iconSet showValue="0">
        <cfvo type="percent" val="0"/>
        <cfvo type="num" val="69"/>
        <cfvo type="num" val="78"/>
      </iconSet>
    </cfRule>
  </conditionalFormatting>
  <conditionalFormatting sqref="R21">
    <cfRule type="iconSet" priority="261">
      <iconSet showValue="0">
        <cfvo type="percent" val="0"/>
        <cfvo type="num" val="70"/>
        <cfvo type="num" val="75"/>
      </iconSet>
    </cfRule>
  </conditionalFormatting>
  <conditionalFormatting sqref="R22">
    <cfRule type="iconSet" priority="259">
      <iconSet showValue="0">
        <cfvo type="percent" val="0"/>
        <cfvo type="num" val="50"/>
        <cfvo type="num" val="50"/>
      </iconSet>
    </cfRule>
  </conditionalFormatting>
  <conditionalFormatting sqref="R23">
    <cfRule type="iconSet" priority="26">
      <iconSet showValue="0">
        <cfvo type="percent" val="0"/>
        <cfvo type="num" val="69"/>
        <cfvo type="num" val="78"/>
      </iconSet>
    </cfRule>
    <cfRule type="iconSet" priority="27">
      <iconSet showValue="0">
        <cfvo type="percent" val="0"/>
        <cfvo type="num" val="69"/>
        <cfvo type="num" val="78"/>
      </iconSet>
    </cfRule>
  </conditionalFormatting>
  <conditionalFormatting sqref="R24">
    <cfRule type="iconSet" priority="24">
      <iconSet showValue="0">
        <cfvo type="percent" val="0"/>
        <cfvo type="num" val="69"/>
        <cfvo type="num" val="78"/>
      </iconSet>
    </cfRule>
    <cfRule type="iconSet" priority="25">
      <iconSet showValue="0">
        <cfvo type="percent" val="0"/>
        <cfvo type="num" val="69"/>
        <cfvo type="num" val="78"/>
      </iconSet>
    </cfRule>
  </conditionalFormatting>
  <conditionalFormatting sqref="R26">
    <cfRule type="iconSet" priority="237">
      <iconSet showValue="0">
        <cfvo type="percent" val="0"/>
        <cfvo type="num" val="69"/>
        <cfvo type="num" val="78"/>
      </iconSet>
    </cfRule>
    <cfRule type="iconSet" priority="238">
      <iconSet showValue="0">
        <cfvo type="percent" val="0"/>
        <cfvo type="num" val="69"/>
        <cfvo type="num" val="78"/>
      </iconSet>
    </cfRule>
  </conditionalFormatting>
  <conditionalFormatting sqref="R27:R29">
    <cfRule type="iconSet" priority="198">
      <iconSet showValue="0">
        <cfvo type="percent" val="0"/>
        <cfvo type="num" val="69"/>
        <cfvo type="num" val="78"/>
      </iconSet>
    </cfRule>
    <cfRule type="iconSet" priority="199">
      <iconSet showValue="0">
        <cfvo type="percent" val="0"/>
        <cfvo type="num" val="69"/>
        <cfvo type="num" val="78"/>
      </iconSet>
    </cfRule>
  </conditionalFormatting>
  <conditionalFormatting sqref="R30">
    <cfRule type="iconSet" priority="71">
      <iconSet showValue="0">
        <cfvo type="percent" val="0"/>
        <cfvo type="num" val="69"/>
        <cfvo type="num" val="78"/>
      </iconSet>
    </cfRule>
    <cfRule type="iconSet" priority="72">
      <iconSet showValue="0">
        <cfvo type="percent" val="0"/>
        <cfvo type="num" val="69"/>
        <cfvo type="num" val="78"/>
      </iconSet>
    </cfRule>
  </conditionalFormatting>
  <conditionalFormatting sqref="R32">
    <cfRule type="iconSet" priority="124">
      <iconSet showValue="0">
        <cfvo type="percent" val="0"/>
        <cfvo type="num" val="69"/>
        <cfvo type="num" val="78"/>
      </iconSet>
    </cfRule>
    <cfRule type="iconSet" priority="123">
      <iconSet showValue="0">
        <cfvo type="percent" val="0"/>
        <cfvo type="num" val="69"/>
        <cfvo type="num" val="78"/>
      </iconSet>
    </cfRule>
  </conditionalFormatting>
  <conditionalFormatting sqref="R33">
    <cfRule type="iconSet" priority="47">
      <iconSet showValue="0">
        <cfvo type="percent" val="0"/>
        <cfvo type="num" val="69"/>
        <cfvo type="num" val="78"/>
      </iconSet>
    </cfRule>
    <cfRule type="iconSet" priority="48">
      <iconSet showValue="0">
        <cfvo type="percent" val="0"/>
        <cfvo type="num" val="69"/>
        <cfvo type="num" val="78"/>
      </iconSet>
    </cfRule>
  </conditionalFormatting>
  <conditionalFormatting sqref="R35">
    <cfRule type="iconSet" priority="58">
      <iconSet showValue="0">
        <cfvo type="percent" val="0"/>
        <cfvo type="num" val="69"/>
        <cfvo type="num" val="78"/>
      </iconSet>
    </cfRule>
    <cfRule type="iconSet" priority="57">
      <iconSet showValue="0">
        <cfvo type="percent" val="0"/>
        <cfvo type="num" val="69"/>
        <cfvo type="num" val="78"/>
      </iconSet>
    </cfRule>
  </conditionalFormatting>
  <conditionalFormatting sqref="S35">
    <cfRule type="iconSet" priority="408">
      <iconSet showValue="0">
        <cfvo type="percent" val="0"/>
        <cfvo type="num" val="100"/>
        <cfvo type="num" val="100"/>
      </iconSet>
    </cfRule>
    <cfRule type="iconSet" priority="409">
      <iconSet>
        <cfvo type="percent" val="0"/>
        <cfvo type="percent" val="33"/>
        <cfvo type="percent" val="67"/>
      </iconSet>
    </cfRule>
  </conditionalFormatting>
  <conditionalFormatting sqref="T12:T13">
    <cfRule type="iconSet" priority="149">
      <iconSet showValue="0">
        <cfvo type="percent" val="0"/>
        <cfvo type="num" val="69"/>
        <cfvo type="num" val="78"/>
      </iconSet>
    </cfRule>
    <cfRule type="iconSet" priority="150">
      <iconSet showValue="0">
        <cfvo type="percent" val="0"/>
        <cfvo type="num" val="69"/>
        <cfvo type="num" val="78"/>
      </iconSet>
    </cfRule>
  </conditionalFormatting>
  <conditionalFormatting sqref="T14">
    <cfRule type="iconSet" priority="148">
      <iconSet showValue="0">
        <cfvo type="percent" val="0"/>
        <cfvo type="num" val="69"/>
        <cfvo type="num" val="78"/>
      </iconSet>
    </cfRule>
    <cfRule type="iconSet" priority="147">
      <iconSet showValue="0">
        <cfvo type="percent" val="0"/>
        <cfvo type="num" val="69"/>
        <cfvo type="num" val="78"/>
      </iconSet>
    </cfRule>
  </conditionalFormatting>
  <conditionalFormatting sqref="T16">
    <cfRule type="iconSet" priority="109">
      <iconSet showValue="0">
        <cfvo type="percent" val="0"/>
        <cfvo type="num" val="50"/>
        <cfvo type="num" val="50"/>
      </iconSet>
    </cfRule>
  </conditionalFormatting>
  <conditionalFormatting sqref="T17">
    <cfRule type="iconSet" priority="55">
      <iconSet showValue="0">
        <cfvo type="percent" val="0"/>
        <cfvo type="num" val="50"/>
        <cfvo type="num" val="100"/>
      </iconSet>
    </cfRule>
  </conditionalFormatting>
  <conditionalFormatting sqref="T19">
    <cfRule type="iconSet" priority="281">
      <iconSet showValue="0">
        <cfvo type="percent" val="0"/>
        <cfvo type="num" val="69"/>
        <cfvo type="num" val="78"/>
      </iconSet>
    </cfRule>
    <cfRule type="iconSet" priority="282">
      <iconSet showValue="0">
        <cfvo type="percent" val="0"/>
        <cfvo type="num" val="69"/>
        <cfvo type="num" val="78"/>
      </iconSet>
    </cfRule>
  </conditionalFormatting>
  <conditionalFormatting sqref="T21:T22">
    <cfRule type="iconSet" priority="256">
      <iconSet showValue="0">
        <cfvo type="percent" val="0"/>
        <cfvo type="num" val="70"/>
        <cfvo type="num" val="75"/>
      </iconSet>
    </cfRule>
  </conditionalFormatting>
  <conditionalFormatting sqref="T23">
    <cfRule type="iconSet" priority="23">
      <iconSet showValue="0">
        <cfvo type="percent" val="0"/>
        <cfvo type="num" val="69"/>
        <cfvo type="num" val="78"/>
      </iconSet>
    </cfRule>
    <cfRule type="iconSet" priority="22">
      <iconSet showValue="0">
        <cfvo type="percent" val="0"/>
        <cfvo type="num" val="69"/>
        <cfvo type="num" val="78"/>
      </iconSet>
    </cfRule>
  </conditionalFormatting>
  <conditionalFormatting sqref="T24">
    <cfRule type="iconSet" priority="21">
      <iconSet showValue="0">
        <cfvo type="percent" val="0"/>
        <cfvo type="num" val="69"/>
        <cfvo type="num" val="78"/>
      </iconSet>
    </cfRule>
    <cfRule type="iconSet" priority="20">
      <iconSet showValue="0">
        <cfvo type="percent" val="0"/>
        <cfvo type="num" val="69"/>
        <cfvo type="num" val="78"/>
      </iconSet>
    </cfRule>
  </conditionalFormatting>
  <conditionalFormatting sqref="T26">
    <cfRule type="iconSet" priority="236">
      <iconSet showValue="0">
        <cfvo type="percent" val="0"/>
        <cfvo type="num" val="69"/>
        <cfvo type="num" val="78"/>
      </iconSet>
    </cfRule>
    <cfRule type="iconSet" priority="235">
      <iconSet showValue="0">
        <cfvo type="percent" val="0"/>
        <cfvo type="num" val="69"/>
        <cfvo type="num" val="78"/>
      </iconSet>
    </cfRule>
  </conditionalFormatting>
  <conditionalFormatting sqref="T27:T28">
    <cfRule type="iconSet" priority="196">
      <iconSet showValue="0">
        <cfvo type="percent" val="0"/>
        <cfvo type="num" val="69"/>
        <cfvo type="num" val="78"/>
      </iconSet>
    </cfRule>
    <cfRule type="iconSet" priority="197">
      <iconSet showValue="0">
        <cfvo type="percent" val="0"/>
        <cfvo type="num" val="69"/>
        <cfvo type="num" val="78"/>
      </iconSet>
    </cfRule>
  </conditionalFormatting>
  <conditionalFormatting sqref="T29">
    <cfRule type="iconSet" priority="187">
      <iconSet showValue="0">
        <cfvo type="percent" val="0"/>
        <cfvo type="num" val="50"/>
        <cfvo type="num" val="50"/>
      </iconSet>
    </cfRule>
  </conditionalFormatting>
  <conditionalFormatting sqref="T30">
    <cfRule type="iconSet" priority="70">
      <iconSet showValue="0">
        <cfvo type="percent" val="0"/>
        <cfvo type="num" val="69"/>
        <cfvo type="num" val="78"/>
      </iconSet>
    </cfRule>
    <cfRule type="iconSet" priority="69">
      <iconSet showValue="0">
        <cfvo type="percent" val="0"/>
        <cfvo type="num" val="69"/>
        <cfvo type="num" val="78"/>
      </iconSet>
    </cfRule>
  </conditionalFormatting>
  <conditionalFormatting sqref="T32">
    <cfRule type="iconSet" priority="121">
      <iconSet showValue="0">
        <cfvo type="percent" val="0"/>
        <cfvo type="num" val="69"/>
        <cfvo type="num" val="78"/>
      </iconSet>
    </cfRule>
    <cfRule type="iconSet" priority="122">
      <iconSet showValue="0">
        <cfvo type="percent" val="0"/>
        <cfvo type="num" val="69"/>
        <cfvo type="num" val="78"/>
      </iconSet>
    </cfRule>
  </conditionalFormatting>
  <conditionalFormatting sqref="T33">
    <cfRule type="iconSet" priority="46">
      <iconSet showValue="0">
        <cfvo type="percent" val="0"/>
        <cfvo type="num" val="69"/>
        <cfvo type="num" val="78"/>
      </iconSet>
    </cfRule>
    <cfRule type="iconSet" priority="45">
      <iconSet showValue="0">
        <cfvo type="percent" val="0"/>
        <cfvo type="num" val="69"/>
        <cfvo type="num" val="78"/>
      </iconSet>
    </cfRule>
  </conditionalFormatting>
  <conditionalFormatting sqref="V12">
    <cfRule type="iconSet" priority="1002">
      <iconSet showValue="0">
        <cfvo type="percent" val="0"/>
        <cfvo type="num" val="69"/>
        <cfvo type="num" val="78"/>
      </iconSet>
    </cfRule>
    <cfRule type="iconSet" priority="1003">
      <iconSet showValue="0">
        <cfvo type="percent" val="0"/>
        <cfvo type="num" val="69"/>
        <cfvo type="num" val="78"/>
      </iconSet>
    </cfRule>
  </conditionalFormatting>
  <conditionalFormatting sqref="V13">
    <cfRule type="iconSet" priority="146">
      <iconSet showValue="0">
        <cfvo type="percent" val="0"/>
        <cfvo type="num" val="69"/>
        <cfvo type="num" val="78"/>
      </iconSet>
    </cfRule>
    <cfRule type="iconSet" priority="145">
      <iconSet showValue="0">
        <cfvo type="percent" val="0"/>
        <cfvo type="num" val="69"/>
        <cfvo type="num" val="78"/>
      </iconSet>
    </cfRule>
  </conditionalFormatting>
  <conditionalFormatting sqref="V14">
    <cfRule type="iconSet" priority="144">
      <iconSet showValue="0">
        <cfvo type="percent" val="0"/>
        <cfvo type="num" val="67"/>
        <cfvo type="num" val="75"/>
      </iconSet>
    </cfRule>
  </conditionalFormatting>
  <conditionalFormatting sqref="V16">
    <cfRule type="iconSet" priority="108">
      <iconSet showValue="0">
        <cfvo type="percent" val="0"/>
        <cfvo type="num" val="50"/>
        <cfvo type="num" val="50"/>
      </iconSet>
    </cfRule>
  </conditionalFormatting>
  <conditionalFormatting sqref="V17">
    <cfRule type="iconSet" priority="1005">
      <iconSet showValue="0">
        <cfvo type="percent" val="0"/>
        <cfvo type="num" val="77"/>
        <cfvo type="num" val="78"/>
      </iconSet>
    </cfRule>
  </conditionalFormatting>
  <conditionalFormatting sqref="V18">
    <cfRule type="iconSet" priority="14">
      <iconSet showValue="0">
        <cfvo type="percent" val="0"/>
        <cfvo type="num" val="69"/>
        <cfvo type="num" val="78"/>
      </iconSet>
    </cfRule>
    <cfRule type="iconSet" priority="15">
      <iconSet showValue="0">
        <cfvo type="percent" val="0"/>
        <cfvo type="num" val="69"/>
        <cfvo type="num" val="78"/>
      </iconSet>
    </cfRule>
  </conditionalFormatting>
  <conditionalFormatting sqref="V19">
    <cfRule type="iconSet" priority="279">
      <iconSet showValue="0">
        <cfvo type="percent" val="0"/>
        <cfvo type="num" val="69"/>
        <cfvo type="num" val="78"/>
      </iconSet>
    </cfRule>
    <cfRule type="iconSet" priority="280">
      <iconSet showValue="0">
        <cfvo type="percent" val="0"/>
        <cfvo type="num" val="69"/>
        <cfvo type="num" val="78"/>
      </iconSet>
    </cfRule>
  </conditionalFormatting>
  <conditionalFormatting sqref="V21:V22">
    <cfRule type="iconSet" priority="255">
      <iconSet showValue="0">
        <cfvo type="percent" val="0"/>
        <cfvo type="num" val="70"/>
        <cfvo type="num" val="75"/>
      </iconSet>
    </cfRule>
  </conditionalFormatting>
  <conditionalFormatting sqref="V23">
    <cfRule type="iconSet" priority="247">
      <iconSet showValue="0">
        <cfvo type="percent" val="0"/>
        <cfvo type="num" val="50"/>
        <cfvo type="num" val="50"/>
      </iconSet>
    </cfRule>
  </conditionalFormatting>
  <conditionalFormatting sqref="V24">
    <cfRule type="iconSet" priority="18">
      <iconSet showValue="0">
        <cfvo type="percent" val="0"/>
        <cfvo type="num" val="69"/>
        <cfvo type="num" val="78"/>
      </iconSet>
    </cfRule>
    <cfRule type="iconSet" priority="19">
      <iconSet showValue="0">
        <cfvo type="percent" val="0"/>
        <cfvo type="num" val="69"/>
        <cfvo type="num" val="78"/>
      </iconSet>
    </cfRule>
  </conditionalFormatting>
  <conditionalFormatting sqref="V26">
    <cfRule type="iconSet" priority="234">
      <iconSet showValue="0">
        <cfvo type="percent" val="0"/>
        <cfvo type="num" val="69"/>
        <cfvo type="num" val="78"/>
      </iconSet>
    </cfRule>
    <cfRule type="iconSet" priority="233">
      <iconSet showValue="0">
        <cfvo type="percent" val="0"/>
        <cfvo type="num" val="69"/>
        <cfvo type="num" val="78"/>
      </iconSet>
    </cfRule>
  </conditionalFormatting>
  <conditionalFormatting sqref="V27">
    <cfRule type="iconSet" priority="195">
      <iconSet showValue="0">
        <cfvo type="percent" val="0"/>
        <cfvo type="num" val="50"/>
        <cfvo type="num" val="50"/>
      </iconSet>
    </cfRule>
  </conditionalFormatting>
  <conditionalFormatting sqref="V28:V29">
    <cfRule type="iconSet" priority="191">
      <iconSet showValue="0">
        <cfvo type="percent" val="0"/>
        <cfvo type="num" val="69"/>
        <cfvo type="num" val="78"/>
      </iconSet>
    </cfRule>
    <cfRule type="iconSet" priority="190">
      <iconSet showValue="0">
        <cfvo type="percent" val="0"/>
        <cfvo type="num" val="69"/>
        <cfvo type="num" val="78"/>
      </iconSet>
    </cfRule>
  </conditionalFormatting>
  <conditionalFormatting sqref="V30">
    <cfRule type="iconSet" priority="67">
      <iconSet showValue="0">
        <cfvo type="percent" val="0"/>
        <cfvo type="num" val="69"/>
        <cfvo type="num" val="78"/>
      </iconSet>
    </cfRule>
    <cfRule type="iconSet" priority="68">
      <iconSet showValue="0">
        <cfvo type="percent" val="0"/>
        <cfvo type="num" val="69"/>
        <cfvo type="num" val="78"/>
      </iconSet>
    </cfRule>
  </conditionalFormatting>
  <conditionalFormatting sqref="V32">
    <cfRule type="iconSet" priority="119">
      <iconSet showValue="0">
        <cfvo type="percent" val="0"/>
        <cfvo type="num" val="69"/>
        <cfvo type="num" val="78"/>
      </iconSet>
    </cfRule>
    <cfRule type="iconSet" priority="120">
      <iconSet showValue="0">
        <cfvo type="percent" val="0"/>
        <cfvo type="num" val="69"/>
        <cfvo type="num" val="78"/>
      </iconSet>
    </cfRule>
  </conditionalFormatting>
  <conditionalFormatting sqref="V33">
    <cfRule type="iconSet" priority="43">
      <iconSet showValue="0">
        <cfvo type="percent" val="0"/>
        <cfvo type="num" val="69"/>
        <cfvo type="num" val="78"/>
      </iconSet>
    </cfRule>
    <cfRule type="iconSet" priority="44">
      <iconSet showValue="0">
        <cfvo type="percent" val="0"/>
        <cfvo type="num" val="69"/>
        <cfvo type="num" val="78"/>
      </iconSet>
    </cfRule>
  </conditionalFormatting>
  <conditionalFormatting sqref="V35">
    <cfRule type="iconSet" priority="1026">
      <iconSet showValue="0">
        <cfvo type="percent" val="0"/>
        <cfvo type="num" val="100"/>
        <cfvo type="num" val="100"/>
      </iconSet>
    </cfRule>
    <cfRule type="iconSet" priority="1027">
      <iconSet>
        <cfvo type="percent" val="0"/>
        <cfvo type="percent" val="33"/>
        <cfvo type="percent" val="67"/>
      </iconSet>
    </cfRule>
  </conditionalFormatting>
  <conditionalFormatting sqref="X30">
    <cfRule type="iconSet" priority="93">
      <iconSet showValue="0">
        <cfvo type="percent" val="0"/>
        <cfvo type="num" val="69"/>
        <cfvo type="num" val="78"/>
      </iconSet>
    </cfRule>
    <cfRule type="iconSet" priority="92">
      <iconSet showValue="0">
        <cfvo type="percent" val="0"/>
        <cfvo type="num" val="69"/>
        <cfvo type="num" val="78"/>
      </iconSet>
    </cfRule>
  </conditionalFormatting>
  <conditionalFormatting sqref="Z30">
    <cfRule type="iconSet" priority="91">
      <iconSet showValue="0">
        <cfvo type="percent" val="0"/>
        <cfvo type="num" val="70"/>
        <cfvo type="num" val="75"/>
      </iconSet>
    </cfRule>
  </conditionalFormatting>
  <pageMargins left="0.25" right="0.25" top="0.75" bottom="0.75" header="0.3" footer="0.3"/>
  <pageSetup paperSize="5" scale="66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4DE0-44AF-4564-A73F-FF192FEF15E6}">
  <sheetPr>
    <pageSetUpPr fitToPage="1"/>
  </sheetPr>
  <dimension ref="B1:AS41"/>
  <sheetViews>
    <sheetView showGridLines="0" zoomScale="85" zoomScaleNormal="85" workbookViewId="0">
      <selection activeCell="AC30" sqref="AC30"/>
    </sheetView>
  </sheetViews>
  <sheetFormatPr defaultColWidth="11.15234375" defaultRowHeight="14" x14ac:dyDescent="0.3"/>
  <cols>
    <col min="1" max="1" width="2.61328125" customWidth="1"/>
    <col min="2" max="2" width="34.84375" customWidth="1"/>
    <col min="3" max="3" width="13.3828125" customWidth="1"/>
    <col min="4" max="4" width="10.3828125" customWidth="1"/>
    <col min="5" max="6" width="2.61328125" customWidth="1"/>
    <col min="7" max="7" width="8.84375" customWidth="1"/>
    <col min="8" max="8" width="2.61328125" customWidth="1"/>
    <col min="9" max="9" width="8.84375" customWidth="1"/>
    <col min="10" max="10" width="2.61328125" customWidth="1"/>
    <col min="11" max="11" width="8.84375" customWidth="1"/>
    <col min="12" max="12" width="2.61328125" customWidth="1"/>
    <col min="13" max="13" width="8.15234375" customWidth="1"/>
    <col min="14" max="14" width="2.61328125" customWidth="1"/>
    <col min="15" max="15" width="11.61328125" bestFit="1" customWidth="1"/>
    <col min="16" max="16" width="2.61328125" customWidth="1"/>
    <col min="17" max="17" width="11.61328125" bestFit="1" customWidth="1"/>
    <col min="18" max="18" width="2.61328125" customWidth="1"/>
    <col min="19" max="19" width="8.3828125" customWidth="1"/>
    <col min="20" max="20" width="2.61328125" customWidth="1"/>
    <col min="21" max="21" width="8.15234375" customWidth="1"/>
    <col min="22" max="22" width="2.61328125" customWidth="1"/>
    <col min="23" max="23" width="8.84375" customWidth="1"/>
    <col min="24" max="24" width="2.61328125" customWidth="1"/>
    <col min="25" max="25" width="7.84375" customWidth="1"/>
    <col min="26" max="26" width="4" customWidth="1"/>
    <col min="27" max="27" width="8.84375" customWidth="1"/>
    <col min="28" max="28" width="2.61328125" customWidth="1"/>
    <col min="29" max="29" width="7.61328125" customWidth="1"/>
    <col min="30" max="30" width="2.61328125" customWidth="1"/>
    <col min="31" max="31" width="8.84375" customWidth="1"/>
    <col min="32" max="32" width="2.61328125" customWidth="1"/>
    <col min="33" max="33" width="8.84375" customWidth="1"/>
    <col min="34" max="34" width="2.61328125" customWidth="1"/>
    <col min="35" max="36" width="0" hidden="1" customWidth="1"/>
    <col min="37" max="37" width="4.84375" hidden="1" customWidth="1"/>
    <col min="38" max="38" width="6.3828125" hidden="1" customWidth="1"/>
    <col min="39" max="39" width="6.15234375" customWidth="1"/>
    <col min="45" max="45" width="13.4609375" customWidth="1"/>
  </cols>
  <sheetData>
    <row r="1" spans="2:39" ht="40.5" customHeight="1" x14ac:dyDescent="0.3">
      <c r="B1" s="236" t="s">
        <v>7</v>
      </c>
      <c r="C1" s="236"/>
      <c r="D1" s="236"/>
      <c r="E1" s="236"/>
      <c r="F1" s="236"/>
    </row>
    <row r="2" spans="2:39" ht="17.5" x14ac:dyDescent="0.3">
      <c r="B2" s="233" t="s">
        <v>1</v>
      </c>
      <c r="C2" s="233"/>
    </row>
    <row r="4" spans="2:39" ht="38.15" customHeight="1" x14ac:dyDescent="0.3"/>
    <row r="5" spans="2:39" x14ac:dyDescent="0.3">
      <c r="AI5">
        <v>2</v>
      </c>
    </row>
    <row r="6" spans="2:39" ht="25.5" customHeight="1" x14ac:dyDescent="0.3">
      <c r="B6" s="12" t="s">
        <v>2</v>
      </c>
      <c r="C6" s="12" t="s">
        <v>85</v>
      </c>
      <c r="D6" s="45" t="s">
        <v>86</v>
      </c>
      <c r="E6" s="478" t="s">
        <v>87</v>
      </c>
      <c r="F6" s="479"/>
      <c r="G6" s="476" t="s">
        <v>172</v>
      </c>
      <c r="H6" s="477"/>
      <c r="I6" s="476" t="s">
        <v>173</v>
      </c>
      <c r="J6" s="477"/>
      <c r="K6" s="476" t="s">
        <v>174</v>
      </c>
      <c r="L6" s="477"/>
      <c r="M6" s="476" t="s">
        <v>175</v>
      </c>
      <c r="N6" s="477"/>
      <c r="O6" s="476" t="s">
        <v>176</v>
      </c>
      <c r="P6" s="477"/>
      <c r="Q6" s="476" t="s">
        <v>177</v>
      </c>
      <c r="R6" s="477"/>
      <c r="S6" s="476" t="s">
        <v>178</v>
      </c>
      <c r="T6" s="477"/>
      <c r="U6" s="476" t="s">
        <v>179</v>
      </c>
      <c r="V6" s="477"/>
      <c r="W6" s="476" t="s">
        <v>180</v>
      </c>
      <c r="X6" s="477"/>
      <c r="Y6" s="476" t="s">
        <v>181</v>
      </c>
      <c r="Z6" s="477"/>
      <c r="AA6" s="476" t="s">
        <v>182</v>
      </c>
      <c r="AB6" s="477"/>
      <c r="AC6" s="476" t="s">
        <v>183</v>
      </c>
      <c r="AD6" s="477"/>
      <c r="AE6" s="476" t="s">
        <v>184</v>
      </c>
      <c r="AF6" s="477"/>
      <c r="AG6" s="476" t="s">
        <v>185</v>
      </c>
      <c r="AH6" s="477"/>
    </row>
    <row r="7" spans="2:39" ht="12" customHeight="1" x14ac:dyDescent="0.3">
      <c r="B7" s="46"/>
      <c r="C7" s="46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6"/>
      <c r="AD7" s="47"/>
      <c r="AE7" s="47"/>
      <c r="AF7" s="47"/>
      <c r="AG7" s="46"/>
      <c r="AH7" s="47"/>
    </row>
    <row r="8" spans="2:39" ht="20.25" customHeight="1" x14ac:dyDescent="0.3">
      <c r="B8" s="82" t="s">
        <v>10</v>
      </c>
      <c r="C8" s="82"/>
      <c r="D8" s="139" t="s">
        <v>11</v>
      </c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1"/>
      <c r="U8" s="142"/>
      <c r="V8" s="142"/>
      <c r="W8" s="142"/>
      <c r="X8" s="142"/>
      <c r="Y8" s="142"/>
      <c r="Z8" s="142"/>
      <c r="AA8" s="142"/>
      <c r="AB8" s="142"/>
      <c r="AC8" s="143"/>
      <c r="AD8" s="142"/>
      <c r="AE8" s="142"/>
      <c r="AF8" s="142"/>
      <c r="AG8" s="143"/>
      <c r="AH8" s="142"/>
    </row>
    <row r="9" spans="2:39" ht="20.25" customHeight="1" x14ac:dyDescent="0.3">
      <c r="B9" s="103" t="s">
        <v>12</v>
      </c>
      <c r="C9" s="103"/>
      <c r="D9" s="96"/>
      <c r="E9" s="96"/>
      <c r="F9" s="104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4"/>
      <c r="U9" s="97"/>
      <c r="V9" s="97"/>
      <c r="W9" s="97"/>
      <c r="X9" s="97"/>
      <c r="Y9" s="97"/>
      <c r="Z9" s="97"/>
      <c r="AA9" s="97"/>
      <c r="AB9" s="97"/>
      <c r="AC9" s="110"/>
      <c r="AD9" s="97"/>
      <c r="AE9" s="97"/>
      <c r="AF9" s="97"/>
      <c r="AG9" s="110"/>
      <c r="AH9" s="97"/>
      <c r="AI9" s="16">
        <v>100</v>
      </c>
      <c r="AK9" s="9"/>
      <c r="AL9" s="9"/>
      <c r="AM9" s="9"/>
    </row>
    <row r="10" spans="2:39" ht="20.25" customHeight="1" x14ac:dyDescent="0.3">
      <c r="B10" s="103" t="s">
        <v>13</v>
      </c>
      <c r="C10" s="103"/>
      <c r="D10" s="96"/>
      <c r="E10" s="96"/>
      <c r="F10" s="104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4"/>
      <c r="U10" s="97"/>
      <c r="V10" s="97"/>
      <c r="W10" s="97"/>
      <c r="X10" s="97"/>
      <c r="Y10" s="97"/>
      <c r="Z10" s="97"/>
      <c r="AA10" s="97"/>
      <c r="AB10" s="97"/>
      <c r="AC10" s="110"/>
      <c r="AD10" s="97"/>
      <c r="AE10" s="97"/>
      <c r="AF10" s="97"/>
      <c r="AG10" s="110"/>
      <c r="AH10" s="97"/>
      <c r="AI10" s="135">
        <v>73</v>
      </c>
    </row>
    <row r="11" spans="2:39" ht="20.25" customHeight="1" x14ac:dyDescent="0.3">
      <c r="B11" s="56" t="s">
        <v>14</v>
      </c>
      <c r="C11" s="214"/>
      <c r="D11" s="444" t="s">
        <v>15</v>
      </c>
      <c r="E11" s="444"/>
      <c r="F11" s="444"/>
      <c r="G11" s="444"/>
      <c r="H11" s="444"/>
      <c r="I11" s="444"/>
      <c r="J11" s="444"/>
      <c r="K11" s="444"/>
      <c r="L11" s="444"/>
      <c r="M11" s="444"/>
      <c r="N11" s="444"/>
      <c r="O11" s="444"/>
      <c r="P11" s="444"/>
      <c r="Q11" s="444"/>
      <c r="R11" s="444"/>
      <c r="S11" s="444"/>
      <c r="T11" s="444"/>
      <c r="U11" s="444"/>
      <c r="V11" s="444"/>
      <c r="W11" s="444"/>
      <c r="X11" s="444"/>
      <c r="Y11" s="444"/>
      <c r="Z11" s="444"/>
      <c r="AA11" s="444"/>
      <c r="AB11" s="444"/>
      <c r="AC11" s="444"/>
      <c r="AD11" s="444"/>
      <c r="AE11" s="444"/>
      <c r="AF11" s="444"/>
      <c r="AG11" s="444"/>
      <c r="AH11" s="444"/>
      <c r="AI11" s="134">
        <v>0.54</v>
      </c>
    </row>
    <row r="12" spans="2:39" ht="20.25" customHeight="1" x14ac:dyDescent="0.4">
      <c r="B12" s="13" t="s">
        <v>16</v>
      </c>
      <c r="C12" s="358" t="s">
        <v>97</v>
      </c>
      <c r="D12" s="91">
        <v>0.72699999999999998</v>
      </c>
      <c r="E12" s="19">
        <v>100</v>
      </c>
      <c r="F12" s="114"/>
      <c r="G12" s="268">
        <v>0.67</v>
      </c>
      <c r="H12" s="306">
        <v>30</v>
      </c>
      <c r="I12" s="270">
        <v>0.83</v>
      </c>
      <c r="J12" s="344">
        <v>100</v>
      </c>
      <c r="K12" s="270">
        <v>0.44</v>
      </c>
      <c r="L12" s="306">
        <v>30</v>
      </c>
      <c r="M12" s="270">
        <v>0.68</v>
      </c>
      <c r="N12" s="306">
        <v>30</v>
      </c>
      <c r="O12" s="270" t="s">
        <v>186</v>
      </c>
      <c r="P12" s="344">
        <v>100</v>
      </c>
      <c r="Q12" s="270">
        <v>0.88</v>
      </c>
      <c r="R12" s="344">
        <v>100</v>
      </c>
      <c r="S12" s="270">
        <v>0.77</v>
      </c>
      <c r="T12" s="344">
        <v>100</v>
      </c>
      <c r="U12" s="272">
        <v>0.57999999999999996</v>
      </c>
      <c r="V12" s="306">
        <v>30</v>
      </c>
      <c r="W12" s="270">
        <v>0.85</v>
      </c>
      <c r="X12" s="269">
        <v>100</v>
      </c>
      <c r="Y12" s="270">
        <v>0.74</v>
      </c>
      <c r="Z12" s="269">
        <v>100</v>
      </c>
      <c r="AA12" s="270">
        <v>0.73</v>
      </c>
      <c r="AB12" s="269">
        <v>100</v>
      </c>
      <c r="AC12" s="270">
        <v>0.5</v>
      </c>
      <c r="AD12" s="306">
        <v>30</v>
      </c>
      <c r="AE12" s="270">
        <v>0.83</v>
      </c>
      <c r="AF12" s="269">
        <v>100</v>
      </c>
      <c r="AG12" s="270">
        <v>0.74</v>
      </c>
      <c r="AH12" s="269">
        <v>100</v>
      </c>
      <c r="AJ12" t="s">
        <v>187</v>
      </c>
      <c r="AL12" s="10" t="s">
        <v>188</v>
      </c>
    </row>
    <row r="13" spans="2:39" ht="20.25" customHeight="1" x14ac:dyDescent="0.4">
      <c r="B13" s="360" t="s">
        <v>18</v>
      </c>
      <c r="C13" s="358" t="s">
        <v>33</v>
      </c>
      <c r="D13" s="297">
        <v>84.5</v>
      </c>
      <c r="E13" s="14">
        <v>100</v>
      </c>
      <c r="F13" s="114"/>
      <c r="G13" s="429">
        <v>86</v>
      </c>
      <c r="H13" s="180">
        <v>100</v>
      </c>
      <c r="I13" s="428">
        <v>84.5</v>
      </c>
      <c r="J13" s="344">
        <v>100</v>
      </c>
      <c r="K13" s="180">
        <v>85.75</v>
      </c>
      <c r="L13" s="344">
        <v>100</v>
      </c>
      <c r="M13" s="219">
        <v>85</v>
      </c>
      <c r="N13" s="344">
        <v>100</v>
      </c>
      <c r="O13" s="180" t="s">
        <v>189</v>
      </c>
      <c r="P13" s="344">
        <v>100</v>
      </c>
      <c r="Q13" s="428">
        <v>82.5</v>
      </c>
      <c r="R13" s="344">
        <v>100</v>
      </c>
      <c r="S13" s="219">
        <v>87</v>
      </c>
      <c r="T13" s="344">
        <v>100</v>
      </c>
      <c r="U13" s="190">
        <v>80</v>
      </c>
      <c r="V13" s="344">
        <v>100</v>
      </c>
      <c r="W13" s="219">
        <v>83</v>
      </c>
      <c r="X13" s="344">
        <v>100</v>
      </c>
      <c r="Y13" s="428">
        <v>85.5</v>
      </c>
      <c r="Z13" s="344">
        <v>100</v>
      </c>
      <c r="AA13" s="183">
        <v>83.25</v>
      </c>
      <c r="AB13" s="344">
        <v>100</v>
      </c>
      <c r="AC13" s="219">
        <v>88</v>
      </c>
      <c r="AD13" s="344">
        <v>100</v>
      </c>
      <c r="AE13" s="219">
        <v>86</v>
      </c>
      <c r="AF13" s="344">
        <v>100</v>
      </c>
      <c r="AG13" s="219">
        <v>86</v>
      </c>
      <c r="AH13" s="344">
        <v>100</v>
      </c>
      <c r="AJ13" s="10" t="s">
        <v>188</v>
      </c>
      <c r="AK13" s="10" t="s">
        <v>188</v>
      </c>
    </row>
    <row r="14" spans="2:39" ht="20.25" customHeight="1" x14ac:dyDescent="0.3">
      <c r="B14" s="360" t="s">
        <v>20</v>
      </c>
      <c r="C14" s="358" t="s">
        <v>98</v>
      </c>
      <c r="D14" s="23">
        <v>81</v>
      </c>
      <c r="E14" s="14">
        <v>100</v>
      </c>
      <c r="F14" s="115"/>
      <c r="G14" s="182">
        <v>81</v>
      </c>
      <c r="H14" s="183">
        <v>100</v>
      </c>
      <c r="I14" s="183">
        <v>76</v>
      </c>
      <c r="J14" s="183">
        <v>73</v>
      </c>
      <c r="K14" s="183">
        <v>87</v>
      </c>
      <c r="L14" s="183">
        <v>100</v>
      </c>
      <c r="M14" s="183">
        <v>82</v>
      </c>
      <c r="N14" s="183">
        <v>100</v>
      </c>
      <c r="O14" s="183" t="s">
        <v>190</v>
      </c>
      <c r="P14" s="183">
        <v>100</v>
      </c>
      <c r="Q14" s="183">
        <v>80</v>
      </c>
      <c r="R14" s="183">
        <v>100</v>
      </c>
      <c r="S14" s="183">
        <v>83</v>
      </c>
      <c r="T14" s="183">
        <v>100</v>
      </c>
      <c r="U14" s="217">
        <v>77</v>
      </c>
      <c r="V14" s="135">
        <v>73</v>
      </c>
      <c r="W14" s="217">
        <v>83</v>
      </c>
      <c r="X14" s="183">
        <v>100</v>
      </c>
      <c r="Y14" s="217">
        <v>80</v>
      </c>
      <c r="Z14" s="183">
        <v>100</v>
      </c>
      <c r="AA14" s="217">
        <v>79</v>
      </c>
      <c r="AB14" s="183">
        <v>100</v>
      </c>
      <c r="AC14" s="217">
        <v>85</v>
      </c>
      <c r="AD14" s="183">
        <v>100</v>
      </c>
      <c r="AE14" s="217">
        <v>82</v>
      </c>
      <c r="AF14" s="183">
        <v>100</v>
      </c>
      <c r="AG14" s="217">
        <v>84</v>
      </c>
      <c r="AH14" s="183">
        <v>100</v>
      </c>
    </row>
    <row r="15" spans="2:39" ht="20.25" customHeight="1" x14ac:dyDescent="0.3">
      <c r="B15" s="59" t="s">
        <v>22</v>
      </c>
      <c r="C15" s="410"/>
      <c r="D15" s="58" t="s">
        <v>23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2:39" ht="17.25" customHeight="1" x14ac:dyDescent="0.3">
      <c r="B16" s="360" t="s">
        <v>24</v>
      </c>
      <c r="C16" s="416">
        <v>2333</v>
      </c>
      <c r="D16" s="302" t="s">
        <v>29</v>
      </c>
      <c r="E16" s="23">
        <v>100</v>
      </c>
      <c r="F16" s="115"/>
      <c r="G16" s="204" t="s">
        <v>191</v>
      </c>
      <c r="H16" s="183">
        <v>100</v>
      </c>
      <c r="I16" s="205" t="s">
        <v>192</v>
      </c>
      <c r="J16" s="23">
        <v>30</v>
      </c>
      <c r="K16" s="205" t="s">
        <v>193</v>
      </c>
      <c r="L16" s="23">
        <v>30</v>
      </c>
      <c r="M16" s="205" t="s">
        <v>194</v>
      </c>
      <c r="N16" s="23">
        <v>30</v>
      </c>
      <c r="O16" s="183" t="s">
        <v>195</v>
      </c>
      <c r="P16" s="23">
        <v>30</v>
      </c>
      <c r="Q16" s="205" t="s">
        <v>196</v>
      </c>
      <c r="R16" s="23">
        <v>30</v>
      </c>
      <c r="S16" s="205" t="s">
        <v>197</v>
      </c>
      <c r="T16" s="23">
        <v>30</v>
      </c>
      <c r="U16" s="218" t="s">
        <v>198</v>
      </c>
      <c r="V16" s="183">
        <v>100</v>
      </c>
      <c r="W16" s="205" t="s">
        <v>199</v>
      </c>
      <c r="X16" s="23">
        <v>30</v>
      </c>
      <c r="Y16" s="183" t="s">
        <v>200</v>
      </c>
      <c r="Z16" s="23">
        <v>30</v>
      </c>
      <c r="AA16" s="205" t="s">
        <v>201</v>
      </c>
      <c r="AB16" s="23">
        <v>100</v>
      </c>
      <c r="AC16" s="285" t="s">
        <v>202</v>
      </c>
      <c r="AD16" s="135">
        <v>73</v>
      </c>
      <c r="AE16" s="205" t="s">
        <v>203</v>
      </c>
      <c r="AF16" s="23">
        <v>100</v>
      </c>
      <c r="AG16" s="205" t="s">
        <v>204</v>
      </c>
      <c r="AH16" s="286">
        <v>100</v>
      </c>
      <c r="AM16" s="9"/>
    </row>
    <row r="17" spans="2:45" ht="20.25" customHeight="1" x14ac:dyDescent="0.3">
      <c r="B17" s="360" t="s">
        <v>32</v>
      </c>
      <c r="C17" s="306" t="s">
        <v>33</v>
      </c>
      <c r="D17" s="165">
        <v>81</v>
      </c>
      <c r="E17" s="14">
        <v>100</v>
      </c>
      <c r="F17" s="115"/>
      <c r="G17" s="182">
        <v>83</v>
      </c>
      <c r="H17" s="183">
        <v>100</v>
      </c>
      <c r="I17" s="183">
        <v>79</v>
      </c>
      <c r="J17" s="183">
        <v>73</v>
      </c>
      <c r="K17" s="183">
        <v>86</v>
      </c>
      <c r="L17" s="306">
        <v>100</v>
      </c>
      <c r="M17" s="183">
        <v>82</v>
      </c>
      <c r="N17" s="183">
        <v>100</v>
      </c>
      <c r="O17" s="183" t="s">
        <v>205</v>
      </c>
      <c r="P17" s="219">
        <v>30</v>
      </c>
      <c r="Q17" s="183">
        <v>81</v>
      </c>
      <c r="R17" s="183">
        <v>100</v>
      </c>
      <c r="S17" s="183">
        <v>86</v>
      </c>
      <c r="T17" s="183">
        <v>100</v>
      </c>
      <c r="U17" s="183">
        <v>78</v>
      </c>
      <c r="V17" s="183">
        <v>30</v>
      </c>
      <c r="W17" s="219">
        <v>83</v>
      </c>
      <c r="X17" s="219">
        <v>100</v>
      </c>
      <c r="Y17" s="219">
        <v>78</v>
      </c>
      <c r="Z17" s="219">
        <v>30</v>
      </c>
      <c r="AA17" s="219">
        <v>78</v>
      </c>
      <c r="AB17" s="219">
        <v>30</v>
      </c>
      <c r="AC17" s="219">
        <v>84</v>
      </c>
      <c r="AD17" s="219">
        <v>100</v>
      </c>
      <c r="AE17" s="219">
        <v>84</v>
      </c>
      <c r="AF17" s="219">
        <v>100</v>
      </c>
      <c r="AG17" s="219">
        <v>84</v>
      </c>
      <c r="AH17" s="219">
        <v>100</v>
      </c>
    </row>
    <row r="18" spans="2:45" ht="20.25" customHeight="1" x14ac:dyDescent="0.3">
      <c r="B18" s="400" t="s">
        <v>34</v>
      </c>
      <c r="C18" s="358" t="s">
        <v>108</v>
      </c>
      <c r="D18" s="165" t="s">
        <v>206</v>
      </c>
      <c r="E18" s="344">
        <v>73</v>
      </c>
      <c r="F18" s="115"/>
      <c r="G18" s="23" t="s">
        <v>207</v>
      </c>
      <c r="H18" s="321">
        <v>100</v>
      </c>
      <c r="I18" s="23" t="s">
        <v>113</v>
      </c>
      <c r="J18" s="183"/>
      <c r="K18" s="23" t="s">
        <v>113</v>
      </c>
      <c r="L18" s="206"/>
      <c r="M18" s="23" t="s">
        <v>115</v>
      </c>
      <c r="N18" s="321">
        <v>100</v>
      </c>
      <c r="O18" s="23" t="s">
        <v>113</v>
      </c>
      <c r="P18" s="183"/>
      <c r="Q18" s="23" t="s">
        <v>208</v>
      </c>
      <c r="R18" s="306">
        <v>30</v>
      </c>
      <c r="S18" s="23" t="s">
        <v>209</v>
      </c>
      <c r="T18" s="321">
        <v>100</v>
      </c>
      <c r="U18" s="26" t="s">
        <v>113</v>
      </c>
      <c r="V18" s="186"/>
      <c r="W18" s="27" t="s">
        <v>113</v>
      </c>
      <c r="X18" s="186"/>
      <c r="Y18" s="23" t="s">
        <v>210</v>
      </c>
      <c r="Z18" s="306">
        <v>30</v>
      </c>
      <c r="AA18" s="23" t="s">
        <v>211</v>
      </c>
      <c r="AB18" s="361">
        <v>73</v>
      </c>
      <c r="AC18" s="23" t="s">
        <v>113</v>
      </c>
      <c r="AD18" s="183"/>
      <c r="AE18" s="23" t="s">
        <v>212</v>
      </c>
      <c r="AF18" s="321">
        <v>100</v>
      </c>
      <c r="AG18" s="23" t="s">
        <v>207</v>
      </c>
      <c r="AH18" s="321">
        <v>100</v>
      </c>
    </row>
    <row r="19" spans="2:45" ht="19.5" customHeight="1" x14ac:dyDescent="0.3">
      <c r="B19" s="13" t="s">
        <v>42</v>
      </c>
      <c r="C19" s="384" t="s">
        <v>213</v>
      </c>
      <c r="D19" s="168">
        <v>0.20200000000000001</v>
      </c>
      <c r="E19" s="23">
        <v>30</v>
      </c>
      <c r="F19" s="117"/>
      <c r="G19" s="185">
        <v>0.223</v>
      </c>
      <c r="H19" s="23">
        <v>30</v>
      </c>
      <c r="I19" s="186">
        <v>0.27400000000000002</v>
      </c>
      <c r="J19" s="14">
        <v>30</v>
      </c>
      <c r="K19" s="177">
        <v>0.153</v>
      </c>
      <c r="L19" s="23">
        <v>100</v>
      </c>
      <c r="M19" s="186">
        <v>0.159</v>
      </c>
      <c r="N19" s="14">
        <v>100</v>
      </c>
      <c r="O19" s="186" t="s">
        <v>214</v>
      </c>
      <c r="P19" s="14">
        <v>100</v>
      </c>
      <c r="Q19" s="177">
        <v>0.23499999999999999</v>
      </c>
      <c r="R19" s="23">
        <v>30</v>
      </c>
      <c r="S19" s="186">
        <v>0.22500000000000001</v>
      </c>
      <c r="T19" s="14">
        <v>30</v>
      </c>
      <c r="U19" s="199">
        <v>0.24299999999999999</v>
      </c>
      <c r="V19" s="23">
        <v>30</v>
      </c>
      <c r="W19" s="186">
        <v>0.21</v>
      </c>
      <c r="X19" s="14">
        <v>100</v>
      </c>
      <c r="Y19" s="186">
        <v>0.17599999999999999</v>
      </c>
      <c r="Z19" s="14">
        <v>100</v>
      </c>
      <c r="AA19" s="186">
        <v>0.21099999999999999</v>
      </c>
      <c r="AB19" s="183">
        <v>30</v>
      </c>
      <c r="AC19" s="186">
        <v>0.187</v>
      </c>
      <c r="AD19" s="183">
        <v>30</v>
      </c>
      <c r="AE19" s="186">
        <v>0.192</v>
      </c>
      <c r="AF19" s="183">
        <v>30</v>
      </c>
      <c r="AG19" s="186">
        <v>0.216</v>
      </c>
      <c r="AH19" s="183">
        <v>30</v>
      </c>
    </row>
    <row r="20" spans="2:45" ht="24" customHeight="1" x14ac:dyDescent="0.3">
      <c r="B20" s="62" t="s">
        <v>44</v>
      </c>
      <c r="C20" s="411"/>
      <c r="D20" s="61" t="s">
        <v>45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M20" s="441"/>
      <c r="AN20" s="441"/>
      <c r="AO20" s="441"/>
      <c r="AP20" s="441"/>
      <c r="AQ20" s="441"/>
      <c r="AR20" s="441"/>
      <c r="AS20" s="441"/>
    </row>
    <row r="21" spans="2:45" ht="20.25" customHeight="1" x14ac:dyDescent="0.3">
      <c r="B21" s="72" t="s">
        <v>46</v>
      </c>
      <c r="C21" s="358" t="s">
        <v>215</v>
      </c>
      <c r="D21" s="23" t="s">
        <v>51</v>
      </c>
      <c r="E21" s="313">
        <v>73</v>
      </c>
      <c r="F21" s="113"/>
      <c r="G21" s="207" t="s">
        <v>216</v>
      </c>
      <c r="H21" s="19">
        <v>73</v>
      </c>
      <c r="I21" s="420" t="s">
        <v>216</v>
      </c>
      <c r="J21" s="19">
        <v>73</v>
      </c>
      <c r="K21" s="420" t="s">
        <v>216</v>
      </c>
      <c r="L21" s="19">
        <v>73</v>
      </c>
      <c r="M21" s="209" t="s">
        <v>217</v>
      </c>
      <c r="N21" s="19">
        <v>73</v>
      </c>
      <c r="O21" s="208" t="s">
        <v>218</v>
      </c>
      <c r="P21" s="306">
        <v>30</v>
      </c>
      <c r="Q21" s="209" t="s">
        <v>217</v>
      </c>
      <c r="R21" s="19">
        <v>73</v>
      </c>
      <c r="S21" s="420" t="s">
        <v>216</v>
      </c>
      <c r="T21" s="19">
        <v>73</v>
      </c>
      <c r="U21" s="420" t="s">
        <v>216</v>
      </c>
      <c r="V21" s="19">
        <v>73</v>
      </c>
      <c r="W21" s="420" t="s">
        <v>216</v>
      </c>
      <c r="X21" s="19">
        <v>73</v>
      </c>
      <c r="Y21" s="208" t="s">
        <v>218</v>
      </c>
      <c r="Z21" s="306">
        <v>30</v>
      </c>
      <c r="AA21" s="420" t="s">
        <v>216</v>
      </c>
      <c r="AB21" s="19">
        <v>73</v>
      </c>
      <c r="AC21" s="208" t="s">
        <v>218</v>
      </c>
      <c r="AD21" s="306">
        <v>30</v>
      </c>
      <c r="AE21" s="420" t="s">
        <v>216</v>
      </c>
      <c r="AF21" s="19">
        <v>73</v>
      </c>
      <c r="AG21" s="420" t="s">
        <v>216</v>
      </c>
      <c r="AH21" s="19">
        <v>73</v>
      </c>
    </row>
    <row r="22" spans="2:45" ht="20.25" customHeight="1" x14ac:dyDescent="0.3">
      <c r="B22" s="72" t="s">
        <v>54</v>
      </c>
      <c r="C22" s="358" t="s">
        <v>108</v>
      </c>
      <c r="D22" s="23">
        <v>52</v>
      </c>
      <c r="E22" s="23">
        <v>30</v>
      </c>
      <c r="F22" s="146"/>
      <c r="G22" s="210">
        <v>46</v>
      </c>
      <c r="H22" s="23">
        <v>30</v>
      </c>
      <c r="I22" s="344" t="s">
        <v>120</v>
      </c>
      <c r="J22" s="344" t="s">
        <v>41</v>
      </c>
      <c r="K22" s="211">
        <v>57</v>
      </c>
      <c r="L22" s="23">
        <v>30</v>
      </c>
      <c r="M22" s="212">
        <v>45</v>
      </c>
      <c r="N22" s="23">
        <v>30</v>
      </c>
      <c r="O22" s="211">
        <v>93</v>
      </c>
      <c r="P22" s="303">
        <v>100</v>
      </c>
      <c r="Q22" s="211">
        <v>44</v>
      </c>
      <c r="R22" s="23">
        <v>30</v>
      </c>
      <c r="S22" s="212">
        <v>91</v>
      </c>
      <c r="T22" s="303">
        <v>100</v>
      </c>
      <c r="U22" s="212">
        <v>13</v>
      </c>
      <c r="V22" s="23">
        <v>30</v>
      </c>
      <c r="W22" s="212">
        <v>66</v>
      </c>
      <c r="X22" s="313">
        <v>73</v>
      </c>
      <c r="Y22" s="212">
        <v>26</v>
      </c>
      <c r="Z22" s="23">
        <v>30</v>
      </c>
      <c r="AA22" s="212">
        <v>38</v>
      </c>
      <c r="AB22" s="23">
        <v>30</v>
      </c>
      <c r="AC22" s="212">
        <v>78</v>
      </c>
      <c r="AD22" s="14">
        <v>100</v>
      </c>
      <c r="AE22" s="212">
        <v>89</v>
      </c>
      <c r="AF22" s="14">
        <v>100</v>
      </c>
      <c r="AG22" s="212">
        <v>68</v>
      </c>
      <c r="AH22" s="313">
        <v>73</v>
      </c>
    </row>
    <row r="23" spans="2:45" ht="20.25" customHeight="1" x14ac:dyDescent="0.3">
      <c r="B23" s="72" t="s">
        <v>55</v>
      </c>
      <c r="C23" s="358" t="s">
        <v>108</v>
      </c>
      <c r="D23" s="23">
        <v>72</v>
      </c>
      <c r="E23" s="19">
        <v>73</v>
      </c>
      <c r="F23" s="146"/>
      <c r="G23" s="210">
        <v>60</v>
      </c>
      <c r="H23" s="23">
        <v>30</v>
      </c>
      <c r="I23" s="344" t="s">
        <v>120</v>
      </c>
      <c r="J23" s="344" t="s">
        <v>41</v>
      </c>
      <c r="K23" s="211">
        <v>38</v>
      </c>
      <c r="L23" s="306">
        <v>30</v>
      </c>
      <c r="M23" s="212">
        <v>81</v>
      </c>
      <c r="N23" s="14">
        <v>100</v>
      </c>
      <c r="O23" s="211">
        <v>96</v>
      </c>
      <c r="P23" s="14">
        <v>100</v>
      </c>
      <c r="Q23" s="211">
        <v>38</v>
      </c>
      <c r="R23" s="23">
        <v>30</v>
      </c>
      <c r="S23" s="212">
        <v>91</v>
      </c>
      <c r="T23" s="14">
        <v>100</v>
      </c>
      <c r="U23" s="212">
        <v>53</v>
      </c>
      <c r="V23" s="23">
        <v>30</v>
      </c>
      <c r="W23" s="212">
        <v>66</v>
      </c>
      <c r="X23" s="19">
        <v>73</v>
      </c>
      <c r="Y23" s="212">
        <v>67</v>
      </c>
      <c r="Z23" s="313">
        <v>73</v>
      </c>
      <c r="AA23" s="212">
        <v>61</v>
      </c>
      <c r="AB23" s="23">
        <v>30</v>
      </c>
      <c r="AC23" s="212">
        <v>90</v>
      </c>
      <c r="AD23" s="14">
        <v>100</v>
      </c>
      <c r="AE23" s="212">
        <v>75</v>
      </c>
      <c r="AF23" s="303">
        <v>100</v>
      </c>
      <c r="AG23" s="212">
        <v>86</v>
      </c>
      <c r="AH23" s="14">
        <v>100</v>
      </c>
    </row>
    <row r="24" spans="2:45" ht="20.25" customHeight="1" x14ac:dyDescent="0.3">
      <c r="B24" s="13" t="s">
        <v>56</v>
      </c>
      <c r="C24" s="358" t="s">
        <v>108</v>
      </c>
      <c r="D24" s="23">
        <v>66</v>
      </c>
      <c r="E24" s="313">
        <v>73</v>
      </c>
      <c r="F24" s="146"/>
      <c r="G24" s="210">
        <v>77</v>
      </c>
      <c r="H24" s="303">
        <v>100</v>
      </c>
      <c r="I24" s="354">
        <v>77</v>
      </c>
      <c r="J24" s="303">
        <v>100</v>
      </c>
      <c r="K24" s="354">
        <v>77</v>
      </c>
      <c r="L24" s="303">
        <v>100</v>
      </c>
      <c r="M24" s="212">
        <v>34</v>
      </c>
      <c r="N24" s="306">
        <v>30</v>
      </c>
      <c r="O24" s="211">
        <v>60</v>
      </c>
      <c r="P24" s="23">
        <v>30</v>
      </c>
      <c r="Q24" s="212">
        <v>34</v>
      </c>
      <c r="R24" s="306">
        <v>30</v>
      </c>
      <c r="S24" s="354">
        <v>77</v>
      </c>
      <c r="T24" s="303">
        <v>100</v>
      </c>
      <c r="U24" s="354">
        <v>77</v>
      </c>
      <c r="V24" s="303">
        <v>100</v>
      </c>
      <c r="W24" s="354">
        <v>77</v>
      </c>
      <c r="X24" s="303">
        <v>100</v>
      </c>
      <c r="Y24" s="211">
        <v>60</v>
      </c>
      <c r="Z24" s="313">
        <v>73</v>
      </c>
      <c r="AA24" s="354">
        <v>77</v>
      </c>
      <c r="AB24" s="303">
        <v>100</v>
      </c>
      <c r="AC24" s="211">
        <v>60</v>
      </c>
      <c r="AD24" s="23">
        <v>30</v>
      </c>
      <c r="AE24" s="354">
        <v>77</v>
      </c>
      <c r="AF24" s="303">
        <v>100</v>
      </c>
      <c r="AG24" s="354">
        <v>77</v>
      </c>
      <c r="AH24" s="303">
        <v>100</v>
      </c>
    </row>
    <row r="25" spans="2:45" ht="20.25" customHeight="1" x14ac:dyDescent="0.3">
      <c r="B25" s="68" t="s">
        <v>57</v>
      </c>
      <c r="C25" s="412"/>
      <c r="D25" s="67" t="s">
        <v>58</v>
      </c>
      <c r="E25" s="65"/>
      <c r="F25" s="65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M25" s="290"/>
    </row>
    <row r="26" spans="2:45" ht="20.25" customHeight="1" x14ac:dyDescent="0.3">
      <c r="B26" s="13" t="s">
        <v>59</v>
      </c>
      <c r="C26" s="358" t="s">
        <v>119</v>
      </c>
      <c r="D26" s="315">
        <f>4/10</f>
        <v>0.4</v>
      </c>
      <c r="E26" s="23">
        <v>30</v>
      </c>
      <c r="F26" s="144"/>
      <c r="G26" s="182">
        <v>0</v>
      </c>
      <c r="H26" s="306">
        <v>30</v>
      </c>
      <c r="I26" s="183" t="s">
        <v>120</v>
      </c>
      <c r="J26" s="183" t="s">
        <v>41</v>
      </c>
      <c r="K26" s="231">
        <v>1</v>
      </c>
      <c r="L26" s="14">
        <v>100</v>
      </c>
      <c r="M26" s="183">
        <v>0</v>
      </c>
      <c r="N26" s="23">
        <v>30</v>
      </c>
      <c r="O26" s="183">
        <v>0</v>
      </c>
      <c r="P26" s="23">
        <v>30</v>
      </c>
      <c r="Q26" s="183">
        <v>0</v>
      </c>
      <c r="R26" s="23">
        <v>30</v>
      </c>
      <c r="S26" s="231">
        <v>1</v>
      </c>
      <c r="T26" s="14">
        <v>100</v>
      </c>
      <c r="U26" s="183">
        <v>0</v>
      </c>
      <c r="V26" s="23" t="s">
        <v>41</v>
      </c>
      <c r="W26" s="183" t="s">
        <v>120</v>
      </c>
      <c r="X26" s="183" t="s">
        <v>41</v>
      </c>
      <c r="Y26" s="183">
        <v>0</v>
      </c>
      <c r="Z26" s="23">
        <v>30</v>
      </c>
      <c r="AA26" s="183">
        <v>0</v>
      </c>
      <c r="AB26" s="23">
        <v>30</v>
      </c>
      <c r="AC26" s="183" t="s">
        <v>120</v>
      </c>
      <c r="AD26" s="183" t="s">
        <v>41</v>
      </c>
      <c r="AE26" s="231">
        <v>1</v>
      </c>
      <c r="AF26" s="14">
        <v>100</v>
      </c>
      <c r="AG26" s="231">
        <v>1</v>
      </c>
      <c r="AH26" s="14">
        <v>100</v>
      </c>
      <c r="AM26" s="290"/>
    </row>
    <row r="27" spans="2:45" ht="20.25" customHeight="1" x14ac:dyDescent="0.3">
      <c r="B27" s="13" t="s">
        <v>61</v>
      </c>
      <c r="C27" s="358" t="s">
        <v>121</v>
      </c>
      <c r="D27" s="315">
        <f>6/10</f>
        <v>0.6</v>
      </c>
      <c r="E27" s="23">
        <v>30</v>
      </c>
      <c r="F27" s="144"/>
      <c r="G27" s="230">
        <v>1</v>
      </c>
      <c r="H27" s="303">
        <v>100</v>
      </c>
      <c r="I27" s="183" t="s">
        <v>120</v>
      </c>
      <c r="J27" s="183" t="s">
        <v>41</v>
      </c>
      <c r="K27" s="230">
        <v>1</v>
      </c>
      <c r="L27" s="14">
        <v>100</v>
      </c>
      <c r="M27" s="183">
        <v>0</v>
      </c>
      <c r="N27" s="23">
        <v>30</v>
      </c>
      <c r="O27" s="183">
        <v>0</v>
      </c>
      <c r="P27" s="23">
        <v>30</v>
      </c>
      <c r="Q27" s="230">
        <v>1</v>
      </c>
      <c r="R27" s="14">
        <v>100</v>
      </c>
      <c r="S27" s="231">
        <v>1</v>
      </c>
      <c r="T27" s="14">
        <v>100</v>
      </c>
      <c r="U27" s="183">
        <v>0</v>
      </c>
      <c r="V27" s="23">
        <v>30</v>
      </c>
      <c r="W27" s="183" t="s">
        <v>120</v>
      </c>
      <c r="X27" s="220" t="s">
        <v>41</v>
      </c>
      <c r="Y27" s="183">
        <v>0</v>
      </c>
      <c r="Z27" s="23">
        <v>30</v>
      </c>
      <c r="AA27" s="183">
        <v>0</v>
      </c>
      <c r="AB27" s="23">
        <v>30</v>
      </c>
      <c r="AC27" s="183" t="s">
        <v>120</v>
      </c>
      <c r="AD27" s="183" t="s">
        <v>41</v>
      </c>
      <c r="AE27" s="231">
        <v>1</v>
      </c>
      <c r="AF27" s="14">
        <v>100</v>
      </c>
      <c r="AG27" s="231">
        <v>1</v>
      </c>
      <c r="AH27" s="14">
        <v>100</v>
      </c>
      <c r="AM27" s="290"/>
    </row>
    <row r="28" spans="2:45" ht="20.25" customHeight="1" x14ac:dyDescent="0.3">
      <c r="B28" s="360" t="s">
        <v>63</v>
      </c>
      <c r="C28" s="306" t="s">
        <v>64</v>
      </c>
      <c r="D28" s="166">
        <v>1</v>
      </c>
      <c r="E28" s="306">
        <v>100</v>
      </c>
      <c r="F28" s="145"/>
      <c r="G28" s="179">
        <v>0.56000000000000005</v>
      </c>
      <c r="H28" s="303">
        <v>100</v>
      </c>
      <c r="I28" s="180" t="s">
        <v>120</v>
      </c>
      <c r="J28" s="180" t="s">
        <v>41</v>
      </c>
      <c r="K28" s="180">
        <v>0.23</v>
      </c>
      <c r="L28" s="14">
        <v>100</v>
      </c>
      <c r="M28" s="180">
        <v>0.42</v>
      </c>
      <c r="N28" s="14">
        <v>100</v>
      </c>
      <c r="O28" s="180">
        <v>0.35</v>
      </c>
      <c r="P28" s="14">
        <v>100</v>
      </c>
      <c r="Q28" s="180">
        <v>0.19</v>
      </c>
      <c r="R28" s="14">
        <v>100</v>
      </c>
      <c r="S28" s="180">
        <v>0.32</v>
      </c>
      <c r="T28" s="14">
        <v>100</v>
      </c>
      <c r="U28" s="180">
        <v>0.59</v>
      </c>
      <c r="V28" s="14">
        <v>100</v>
      </c>
      <c r="W28" s="180">
        <v>0.28000000000000003</v>
      </c>
      <c r="X28" s="14">
        <v>100</v>
      </c>
      <c r="Y28" s="180">
        <v>0.36</v>
      </c>
      <c r="Z28" s="14">
        <v>100</v>
      </c>
      <c r="AA28" s="180">
        <v>0.52</v>
      </c>
      <c r="AB28" s="14">
        <v>100</v>
      </c>
      <c r="AC28" s="180">
        <v>0</v>
      </c>
      <c r="AD28" s="14">
        <v>100</v>
      </c>
      <c r="AE28" s="180">
        <v>0.25</v>
      </c>
      <c r="AF28" s="14">
        <v>100</v>
      </c>
      <c r="AG28" s="180">
        <v>0.22</v>
      </c>
      <c r="AH28" s="14">
        <v>100</v>
      </c>
      <c r="AM28" s="290"/>
    </row>
    <row r="29" spans="2:45" ht="37.5" x14ac:dyDescent="0.3">
      <c r="B29" s="417" t="s">
        <v>65</v>
      </c>
      <c r="C29" s="306" t="s">
        <v>66</v>
      </c>
      <c r="D29" s="315">
        <v>0.5</v>
      </c>
      <c r="E29" s="23">
        <v>30</v>
      </c>
      <c r="F29" s="73"/>
      <c r="G29" s="179">
        <v>4.1399999999999997</v>
      </c>
      <c r="H29" s="313">
        <v>73</v>
      </c>
      <c r="I29" s="180" t="s">
        <v>120</v>
      </c>
      <c r="J29" s="180" t="s">
        <v>41</v>
      </c>
      <c r="K29" s="179">
        <v>3.61</v>
      </c>
      <c r="L29" s="14">
        <v>100</v>
      </c>
      <c r="M29" s="180">
        <v>4.0999999999999996</v>
      </c>
      <c r="N29" s="19">
        <v>73</v>
      </c>
      <c r="O29" s="180">
        <v>3.66</v>
      </c>
      <c r="P29" s="14">
        <v>100</v>
      </c>
      <c r="Q29" s="180">
        <v>3.96</v>
      </c>
      <c r="R29" s="23">
        <v>30</v>
      </c>
      <c r="S29" s="180">
        <v>3.9</v>
      </c>
      <c r="T29" s="14">
        <v>100</v>
      </c>
      <c r="U29" s="319">
        <v>4.72</v>
      </c>
      <c r="V29" s="319" t="s">
        <v>41</v>
      </c>
      <c r="W29" s="180">
        <v>3.32</v>
      </c>
      <c r="X29" s="14">
        <v>100</v>
      </c>
      <c r="Y29" s="180">
        <v>4.4000000000000004</v>
      </c>
      <c r="Z29" s="14">
        <v>100</v>
      </c>
      <c r="AA29" s="180">
        <v>5.19</v>
      </c>
      <c r="AB29" s="19">
        <v>73</v>
      </c>
      <c r="AC29" s="180">
        <v>2.14</v>
      </c>
      <c r="AD29" s="14">
        <v>100</v>
      </c>
      <c r="AE29" s="180">
        <v>3.48</v>
      </c>
      <c r="AF29" s="19">
        <v>73</v>
      </c>
      <c r="AG29" s="180">
        <v>3.89</v>
      </c>
      <c r="AH29" s="23">
        <v>30</v>
      </c>
      <c r="AM29" s="290"/>
    </row>
    <row r="30" spans="2:45" ht="37.5" x14ac:dyDescent="0.3">
      <c r="B30" s="360" t="s">
        <v>67</v>
      </c>
      <c r="C30" s="306" t="s">
        <v>66</v>
      </c>
      <c r="D30" s="316">
        <f>6/13</f>
        <v>0.46153846153846156</v>
      </c>
      <c r="E30" s="23">
        <v>30</v>
      </c>
      <c r="F30" s="153"/>
      <c r="G30" s="179">
        <v>0.94</v>
      </c>
      <c r="H30" s="306">
        <v>30</v>
      </c>
      <c r="I30" s="180" t="s">
        <v>120</v>
      </c>
      <c r="J30" s="180" t="s">
        <v>41</v>
      </c>
      <c r="K30" s="180">
        <v>0.71</v>
      </c>
      <c r="L30" s="19">
        <v>100</v>
      </c>
      <c r="M30" s="180">
        <v>0.94</v>
      </c>
      <c r="N30" s="19">
        <v>30</v>
      </c>
      <c r="O30" s="180">
        <v>0.82</v>
      </c>
      <c r="P30" s="14">
        <v>30</v>
      </c>
      <c r="Q30" s="180">
        <v>0.83</v>
      </c>
      <c r="R30" s="25">
        <v>30</v>
      </c>
      <c r="S30" s="180">
        <v>0.79</v>
      </c>
      <c r="T30" s="19">
        <v>100</v>
      </c>
      <c r="U30" s="180">
        <v>0.99</v>
      </c>
      <c r="V30" s="25">
        <v>30</v>
      </c>
      <c r="W30" s="180">
        <v>0.81</v>
      </c>
      <c r="X30" s="19">
        <v>100</v>
      </c>
      <c r="Y30" s="180">
        <v>0.89</v>
      </c>
      <c r="Z30" s="25">
        <v>30</v>
      </c>
      <c r="AA30" s="180">
        <v>0.89</v>
      </c>
      <c r="AB30" s="25">
        <v>30</v>
      </c>
      <c r="AC30" s="180">
        <v>0.61</v>
      </c>
      <c r="AD30" s="25">
        <v>100</v>
      </c>
      <c r="AE30" s="180">
        <v>0.78</v>
      </c>
      <c r="AF30" s="25">
        <v>100</v>
      </c>
      <c r="AG30" s="180">
        <v>0.78</v>
      </c>
      <c r="AH30" s="14">
        <v>100</v>
      </c>
      <c r="AM30" s="290"/>
    </row>
    <row r="31" spans="2:45" ht="20.25" customHeight="1" x14ac:dyDescent="0.3">
      <c r="B31" s="71" t="s">
        <v>68</v>
      </c>
      <c r="C31" s="413"/>
      <c r="D31" s="70" t="s">
        <v>69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M31" s="290"/>
    </row>
    <row r="32" spans="2:45" ht="20.25" customHeight="1" x14ac:dyDescent="0.3">
      <c r="B32" s="360" t="s">
        <v>70</v>
      </c>
      <c r="C32" s="377" t="s">
        <v>219</v>
      </c>
      <c r="D32" s="318">
        <v>327.5</v>
      </c>
      <c r="E32" s="14">
        <v>100</v>
      </c>
      <c r="F32" s="111"/>
      <c r="G32" s="187" t="s">
        <v>220</v>
      </c>
      <c r="H32" s="23">
        <v>30</v>
      </c>
      <c r="I32" s="187" t="s">
        <v>221</v>
      </c>
      <c r="J32" s="14">
        <v>30</v>
      </c>
      <c r="K32" s="195" t="s">
        <v>222</v>
      </c>
      <c r="L32" s="14">
        <v>100</v>
      </c>
      <c r="M32" s="195" t="s">
        <v>223</v>
      </c>
      <c r="N32" s="14">
        <v>100</v>
      </c>
      <c r="O32" s="195" t="s">
        <v>41</v>
      </c>
      <c r="P32" s="195"/>
      <c r="Q32" s="195" t="s">
        <v>224</v>
      </c>
      <c r="R32" s="14">
        <v>100</v>
      </c>
      <c r="S32" s="195" t="s">
        <v>225</v>
      </c>
      <c r="T32" s="14">
        <v>100</v>
      </c>
      <c r="U32" s="200" t="s">
        <v>226</v>
      </c>
      <c r="V32" s="14">
        <v>30</v>
      </c>
      <c r="W32" s="200" t="s">
        <v>227</v>
      </c>
      <c r="X32" s="14">
        <v>100</v>
      </c>
      <c r="Y32" s="200" t="s">
        <v>228</v>
      </c>
      <c r="Z32" s="14">
        <v>100</v>
      </c>
      <c r="AA32" s="200" t="s">
        <v>229</v>
      </c>
      <c r="AB32" s="14">
        <v>100</v>
      </c>
      <c r="AC32" s="200" t="s">
        <v>230</v>
      </c>
      <c r="AD32" s="23">
        <v>100</v>
      </c>
      <c r="AE32" s="200" t="s">
        <v>231</v>
      </c>
      <c r="AF32" s="23">
        <v>30</v>
      </c>
      <c r="AG32" s="200" t="s">
        <v>232</v>
      </c>
      <c r="AH32" s="14">
        <v>100</v>
      </c>
      <c r="AM32" s="290"/>
    </row>
    <row r="33" spans="2:39" ht="20.25" customHeight="1" x14ac:dyDescent="0.3">
      <c r="B33" s="360" t="s">
        <v>78</v>
      </c>
      <c r="C33" s="377"/>
      <c r="D33" s="169">
        <v>0.16300000000000001</v>
      </c>
      <c r="E33" s="14">
        <v>100</v>
      </c>
      <c r="F33" s="152"/>
      <c r="G33" s="196">
        <v>8.1000000000000003E-2</v>
      </c>
      <c r="H33" s="180">
        <v>100</v>
      </c>
      <c r="I33" s="197">
        <v>-2.5999999999999999E-2</v>
      </c>
      <c r="J33" s="303">
        <v>30</v>
      </c>
      <c r="K33" s="197">
        <v>9.6000000000000002E-2</v>
      </c>
      <c r="L33" s="303">
        <v>100</v>
      </c>
      <c r="M33" s="197">
        <v>0.13300000000000001</v>
      </c>
      <c r="N33" s="180">
        <v>100</v>
      </c>
      <c r="O33" s="195" t="s">
        <v>41</v>
      </c>
      <c r="P33" s="186"/>
      <c r="Q33" s="197">
        <v>0.13200000000000001</v>
      </c>
      <c r="R33" s="303">
        <v>100</v>
      </c>
      <c r="S33" s="197">
        <v>0.109</v>
      </c>
      <c r="T33" s="184">
        <v>100</v>
      </c>
      <c r="U33" s="197">
        <v>1.036</v>
      </c>
      <c r="V33" s="180">
        <v>100</v>
      </c>
      <c r="W33" s="197">
        <v>0.33400000000000002</v>
      </c>
      <c r="X33" s="180">
        <v>100</v>
      </c>
      <c r="Y33" s="197">
        <v>-5.0000000000000001E-3</v>
      </c>
      <c r="Z33" s="306">
        <v>30</v>
      </c>
      <c r="AA33" s="197">
        <v>7.1999999999999995E-2</v>
      </c>
      <c r="AB33" s="180">
        <v>100</v>
      </c>
      <c r="AC33" s="197" t="s">
        <v>41</v>
      </c>
      <c r="AD33" s="180"/>
      <c r="AE33" s="197">
        <v>3.3000000000000002E-2</v>
      </c>
      <c r="AF33" s="180">
        <v>100</v>
      </c>
      <c r="AG33" s="197">
        <v>0.105</v>
      </c>
      <c r="AH33" s="183">
        <v>100</v>
      </c>
      <c r="AM33" s="290"/>
    </row>
    <row r="34" spans="2:39" ht="20.25" customHeight="1" x14ac:dyDescent="0.3">
      <c r="B34" s="64" t="s">
        <v>80</v>
      </c>
      <c r="C34" s="414"/>
      <c r="D34" s="130" t="s">
        <v>81</v>
      </c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M34" s="311"/>
    </row>
    <row r="35" spans="2:39" ht="20.25" customHeight="1" x14ac:dyDescent="0.3">
      <c r="B35" s="13" t="s">
        <v>82</v>
      </c>
      <c r="C35" s="385">
        <v>0.8</v>
      </c>
      <c r="D35" s="20">
        <v>0.81599999999999995</v>
      </c>
      <c r="E35" s="14">
        <v>100</v>
      </c>
      <c r="F35" s="119"/>
      <c r="G35" s="198">
        <v>0.84499999999999997</v>
      </c>
      <c r="H35" s="222">
        <v>100</v>
      </c>
      <c r="I35" s="199">
        <v>0.81100000000000005</v>
      </c>
      <c r="J35" s="222">
        <v>100</v>
      </c>
      <c r="K35" s="199">
        <v>0.88700000000000001</v>
      </c>
      <c r="L35" s="222">
        <v>100</v>
      </c>
      <c r="M35" s="200">
        <v>0.83799999999999997</v>
      </c>
      <c r="N35" s="222">
        <v>100</v>
      </c>
      <c r="O35" s="199" t="s">
        <v>113</v>
      </c>
      <c r="P35" s="222"/>
      <c r="Q35" s="199">
        <v>0.83799999999999997</v>
      </c>
      <c r="R35" s="222">
        <v>100</v>
      </c>
      <c r="S35" s="199">
        <v>0.82299999999999995</v>
      </c>
      <c r="T35" s="223">
        <v>100</v>
      </c>
      <c r="U35" s="199" t="s">
        <v>113</v>
      </c>
      <c r="V35" s="221"/>
      <c r="W35" s="186">
        <v>0.70499999999999996</v>
      </c>
      <c r="X35" s="221">
        <v>100</v>
      </c>
      <c r="Y35" s="199" t="s">
        <v>113</v>
      </c>
      <c r="Z35" s="221"/>
      <c r="AA35" s="186">
        <v>0.81499999999999995</v>
      </c>
      <c r="AB35" s="221">
        <v>100</v>
      </c>
      <c r="AC35" s="199" t="s">
        <v>113</v>
      </c>
      <c r="AD35" s="221"/>
      <c r="AE35" s="186">
        <v>0.85599999999999998</v>
      </c>
      <c r="AF35" s="221">
        <v>100</v>
      </c>
      <c r="AG35" s="186">
        <v>0.88700000000000001</v>
      </c>
      <c r="AH35" s="221">
        <v>100</v>
      </c>
      <c r="AM35" s="290"/>
    </row>
    <row r="36" spans="2:39" ht="20.25" customHeight="1" x14ac:dyDescent="0.3">
      <c r="B36" s="407" t="s">
        <v>84</v>
      </c>
      <c r="C36" s="363"/>
      <c r="D36" s="387">
        <f>IFERROR(COUNTIF(E12:E35,"&gt;=74")/COUNTIFS(E12:E35,"&gt;0",E12:E35,"&lt;&gt;N/A"),0)</f>
        <v>0.47368421052631576</v>
      </c>
      <c r="E36" s="363"/>
      <c r="F36" s="363"/>
      <c r="G36" s="387">
        <f>IFERROR(COUNTIF(H12:H35,"&gt;=74")/COUNTIFS(H12:H35,"&gt;0",H12:H35,"&lt;&gt;N/A"),0)</f>
        <v>0.52631578947368418</v>
      </c>
      <c r="H36" s="363"/>
      <c r="I36" s="387">
        <f>IFERROR(COUNTIF(J12:J35,"&gt;=74")/COUNTIFS(J12:J35,"&gt;0",J12:J35,"&lt;&gt;N/A"),0)</f>
        <v>0.36363636363636365</v>
      </c>
      <c r="J36" s="363"/>
      <c r="K36" s="387">
        <f>IFERROR(COUNTIF(L12:L35,"&gt;=74")/COUNTIFS(L12:L35,"&gt;0",L12:L35,"&lt;&gt;N/A"),0)</f>
        <v>0.72222222222222221</v>
      </c>
      <c r="L36" s="363"/>
      <c r="M36" s="387">
        <f>IFERROR(COUNTIF(N12:N35,"&gt;=74")/COUNTIFS(N12:N35,"&gt;0",N12:N35,"&lt;&gt;N/A"),0)</f>
        <v>0.52631578947368418</v>
      </c>
      <c r="N36" s="363"/>
      <c r="O36" s="387">
        <f>IFERROR(COUNTIF(P12:P35,"&gt;=74")/COUNTIFS(P12:P35,"&gt;0",P12:P35,"&lt;&gt;N/A"),0)</f>
        <v>0.53333333333333333</v>
      </c>
      <c r="P36" s="363"/>
      <c r="Q36" s="387">
        <f>IFERROR(COUNTIF(R12:R35,"&gt;=74")/COUNTIFS(R12:R35,"&gt;0",R12:R35,"&lt;&gt;N/A"),0)</f>
        <v>0.47368421052631576</v>
      </c>
      <c r="R36" s="363"/>
      <c r="S36" s="387">
        <f>IFERROR(COUNTIF(T12:T35,"&gt;=74")/COUNTIFS(T12:T35,"&gt;0",T12:T35,"&lt;&gt;N/A"),0)</f>
        <v>0.84210526315789469</v>
      </c>
      <c r="T36" s="363"/>
      <c r="U36" s="387">
        <f>IFERROR(COUNTIF(V12:V35,"&gt;=74")/COUNTIFS(V12:V35,"&gt;0",V12:V35,"&lt;&gt;N/A"),0)</f>
        <v>0.33333333333333331</v>
      </c>
      <c r="V36" s="363"/>
      <c r="W36" s="387">
        <f>IFERROR(COUNTIF(X12:X35,"&gt;=74")/COUNTIFS(X12:X35,"&gt;0",X12:X35,"&lt;&gt;N/A"),0)</f>
        <v>0.75</v>
      </c>
      <c r="X36" s="391"/>
      <c r="Y36" s="387">
        <f>IFERROR(COUNTIF(Z12:Z35,"&gt;=74")/COUNTIFS(Z12:Z35,"&gt;0",Z12:Z35,"&lt;&gt;N/A"),0)</f>
        <v>0.3888888888888889</v>
      </c>
      <c r="Z36" s="391"/>
      <c r="AA36" s="387">
        <f>IFERROR(COUNTIF(AB12:AB35,"&gt;=74")/COUNTIFS(AB12:AB35,"&gt;0",AB12:AB35,"&lt;&gt;N/A"),0)</f>
        <v>0.47368421052631576</v>
      </c>
      <c r="AB36" s="391"/>
      <c r="AC36" s="387">
        <f>IFERROR(COUNTIF(AD12:AD35,"&gt;=74")/COUNTIFS(AD12:AD35,"&gt;0",AD12:AD35,"&lt;&gt;N/A"),0)</f>
        <v>0.6428571428571429</v>
      </c>
      <c r="AD36" s="391"/>
      <c r="AE36" s="387">
        <f>IFERROR(COUNTIF(AF12:AF35,"&gt;=74")/COUNTIFS(AF12:AF35,"&gt;0",AF12:AF35,"&lt;&gt;N/A"),0)</f>
        <v>0.78947368421052633</v>
      </c>
      <c r="AF36" s="391"/>
      <c r="AG36" s="387">
        <f>IFERROR(COUNTIF(AH12:AH35,"&gt;=74")/COUNTIFS(AH12:AH35,"&gt;0",AH12:AH35,"&lt;&gt;N/A"),0)</f>
        <v>0.78947368421052633</v>
      </c>
      <c r="AH36" s="391"/>
      <c r="AM36" s="390"/>
    </row>
    <row r="37" spans="2:39" ht="26.25" customHeight="1" x14ac:dyDescent="0.3">
      <c r="B37" s="363" t="s">
        <v>122</v>
      </c>
      <c r="C37" s="363"/>
      <c r="D37" s="387"/>
      <c r="E37" s="363"/>
      <c r="F37" s="363"/>
      <c r="G37" s="471" t="s">
        <v>233</v>
      </c>
      <c r="H37" s="471"/>
      <c r="I37" s="471" t="s">
        <v>234</v>
      </c>
      <c r="J37" s="471"/>
      <c r="K37" s="471" t="s">
        <v>235</v>
      </c>
      <c r="L37" s="471"/>
      <c r="M37" s="471" t="s">
        <v>234</v>
      </c>
      <c r="N37" s="471"/>
      <c r="O37" s="471" t="s">
        <v>236</v>
      </c>
      <c r="P37" s="471"/>
      <c r="Q37" s="471" t="s">
        <v>234</v>
      </c>
      <c r="R37" s="471"/>
      <c r="S37" s="471" t="s">
        <v>237</v>
      </c>
      <c r="T37" s="471"/>
      <c r="U37" s="471" t="s">
        <v>238</v>
      </c>
      <c r="V37" s="471"/>
      <c r="W37" s="471" t="s">
        <v>239</v>
      </c>
      <c r="X37" s="471"/>
      <c r="Y37" s="471" t="s">
        <v>236</v>
      </c>
      <c r="Z37" s="471"/>
      <c r="AA37" s="471" t="s">
        <v>240</v>
      </c>
      <c r="AB37" s="471"/>
      <c r="AC37" s="471" t="s">
        <v>236</v>
      </c>
      <c r="AD37" s="471"/>
      <c r="AE37" s="471" t="s">
        <v>241</v>
      </c>
      <c r="AF37" s="471"/>
      <c r="AG37" s="471" t="s">
        <v>234</v>
      </c>
      <c r="AH37" s="471"/>
    </row>
    <row r="38" spans="2:39" x14ac:dyDescent="0.3">
      <c r="B38" s="363" t="s">
        <v>132</v>
      </c>
      <c r="C38" s="363"/>
      <c r="D38" s="387"/>
      <c r="E38" s="363"/>
      <c r="F38" s="363"/>
      <c r="G38" s="473">
        <v>45039</v>
      </c>
      <c r="H38" s="473"/>
      <c r="I38" s="473">
        <v>45138</v>
      </c>
      <c r="J38" s="473"/>
      <c r="K38" s="473">
        <v>45613</v>
      </c>
      <c r="L38" s="473"/>
      <c r="M38" s="473">
        <v>46159</v>
      </c>
      <c r="N38" s="473"/>
      <c r="O38" s="473">
        <v>45557</v>
      </c>
      <c r="P38" s="473"/>
      <c r="Q38" s="473">
        <v>45138</v>
      </c>
      <c r="R38" s="473"/>
      <c r="S38" s="473">
        <v>45669</v>
      </c>
      <c r="T38" s="473"/>
      <c r="U38" s="473">
        <v>45683</v>
      </c>
      <c r="V38" s="473"/>
      <c r="W38" s="473">
        <v>44507</v>
      </c>
      <c r="X38" s="473"/>
      <c r="Y38" s="473">
        <v>44773</v>
      </c>
      <c r="Z38" s="473"/>
      <c r="AA38" s="473">
        <v>45641</v>
      </c>
      <c r="AB38" s="473"/>
      <c r="AC38" s="473">
        <v>45557</v>
      </c>
      <c r="AD38" s="473"/>
      <c r="AE38" s="473">
        <v>45655</v>
      </c>
      <c r="AF38" s="473"/>
      <c r="AG38" s="473">
        <v>45138</v>
      </c>
      <c r="AH38" s="473"/>
    </row>
    <row r="41" spans="2:39" x14ac:dyDescent="0.3">
      <c r="C41" s="150" t="s">
        <v>242</v>
      </c>
    </row>
  </sheetData>
  <mergeCells count="45">
    <mergeCell ref="AM20:AS20"/>
    <mergeCell ref="AA6:AB6"/>
    <mergeCell ref="Q6:R6"/>
    <mergeCell ref="S6:T6"/>
    <mergeCell ref="D11:AH11"/>
    <mergeCell ref="E6:F6"/>
    <mergeCell ref="O6:P6"/>
    <mergeCell ref="AC6:AD6"/>
    <mergeCell ref="AE6:AF6"/>
    <mergeCell ref="AG6:AH6"/>
    <mergeCell ref="U6:V6"/>
    <mergeCell ref="W6:X6"/>
    <mergeCell ref="G6:H6"/>
    <mergeCell ref="I6:J6"/>
    <mergeCell ref="K6:L6"/>
    <mergeCell ref="M6:N6"/>
    <mergeCell ref="Y6:Z6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Q38:R38"/>
    <mergeCell ref="S38:T38"/>
    <mergeCell ref="U38:V38"/>
    <mergeCell ref="W38:X38"/>
    <mergeCell ref="Y38:Z38"/>
    <mergeCell ref="G38:H38"/>
    <mergeCell ref="I38:J38"/>
    <mergeCell ref="K38:L38"/>
    <mergeCell ref="M38:N38"/>
    <mergeCell ref="O38:P38"/>
    <mergeCell ref="AE38:AF38"/>
    <mergeCell ref="AG38:AH38"/>
    <mergeCell ref="AA37:AB37"/>
    <mergeCell ref="AC37:AD37"/>
    <mergeCell ref="AE37:AF37"/>
    <mergeCell ref="AG37:AH37"/>
    <mergeCell ref="AA38:AB38"/>
    <mergeCell ref="AC38:AD38"/>
  </mergeCells>
  <conditionalFormatting sqref="E12">
    <cfRule type="iconSet" priority="428">
      <iconSet showValue="0">
        <cfvo type="percent" val="0"/>
        <cfvo type="num" val="70"/>
        <cfvo type="num" val="75"/>
      </iconSet>
    </cfRule>
  </conditionalFormatting>
  <conditionalFormatting sqref="E13">
    <cfRule type="iconSet" priority="446">
      <iconSet showValue="0">
        <cfvo type="percent" val="0"/>
        <cfvo type="num" val="69"/>
        <cfvo type="num" val="78"/>
      </iconSet>
    </cfRule>
    <cfRule type="iconSet" priority="447">
      <iconSet showValue="0">
        <cfvo type="percent" val="0"/>
        <cfvo type="num" val="69"/>
        <cfvo type="num" val="78"/>
      </iconSet>
    </cfRule>
  </conditionalFormatting>
  <conditionalFormatting sqref="E14">
    <cfRule type="iconSet" priority="444">
      <iconSet showValue="0">
        <cfvo type="percent" val="0"/>
        <cfvo type="num" val="69"/>
        <cfvo type="num" val="78"/>
      </iconSet>
    </cfRule>
    <cfRule type="iconSet" priority="445">
      <iconSet showValue="0">
        <cfvo type="percent" val="0"/>
        <cfvo type="num" val="69"/>
        <cfvo type="num" val="78"/>
      </iconSet>
    </cfRule>
  </conditionalFormatting>
  <conditionalFormatting sqref="E16">
    <cfRule type="iconSet" priority="435">
      <iconSet showValue="0">
        <cfvo type="percent" val="0"/>
        <cfvo type="num" val="50"/>
        <cfvo type="num" val="50"/>
      </iconSet>
    </cfRule>
  </conditionalFormatting>
  <conditionalFormatting sqref="E17">
    <cfRule type="iconSet" priority="442">
      <iconSet showValue="0">
        <cfvo type="percent" val="0"/>
        <cfvo type="num" val="69"/>
        <cfvo type="num" val="78"/>
      </iconSet>
    </cfRule>
    <cfRule type="iconSet" priority="443">
      <iconSet showValue="0">
        <cfvo type="percent" val="0"/>
        <cfvo type="num" val="69"/>
        <cfvo type="num" val="78"/>
      </iconSet>
    </cfRule>
  </conditionalFormatting>
  <conditionalFormatting sqref="E18">
    <cfRule type="iconSet" priority="3">
      <iconSet showValue="0">
        <cfvo type="percent" val="0"/>
        <cfvo type="num" val="50"/>
        <cfvo type="num" val="100"/>
      </iconSet>
    </cfRule>
  </conditionalFormatting>
  <conditionalFormatting sqref="E19">
    <cfRule type="iconSet" priority="434">
      <iconSet showValue="0">
        <cfvo type="percent" val="0"/>
        <cfvo type="num" val="50"/>
        <cfvo type="num" val="50"/>
      </iconSet>
    </cfRule>
  </conditionalFormatting>
  <conditionalFormatting sqref="E21">
    <cfRule type="iconSet" priority="1">
      <iconSet showValue="0">
        <cfvo type="percent" val="0"/>
        <cfvo type="num" val="70"/>
        <cfvo type="num" val="75"/>
      </iconSet>
    </cfRule>
  </conditionalFormatting>
  <conditionalFormatting sqref="E22">
    <cfRule type="iconSet" priority="433">
      <iconSet showValue="0">
        <cfvo type="percent" val="0"/>
        <cfvo type="num" val="50"/>
        <cfvo type="num" val="50"/>
      </iconSet>
    </cfRule>
  </conditionalFormatting>
  <conditionalFormatting sqref="E23:E24">
    <cfRule type="iconSet" priority="426">
      <iconSet showValue="0">
        <cfvo type="percent" val="0"/>
        <cfvo type="num" val="70"/>
        <cfvo type="num" val="75"/>
      </iconSet>
    </cfRule>
  </conditionalFormatting>
  <conditionalFormatting sqref="E26">
    <cfRule type="iconSet" priority="431">
      <iconSet showValue="0">
        <cfvo type="percent" val="0"/>
        <cfvo type="num" val="50"/>
        <cfvo type="num" val="50"/>
      </iconSet>
    </cfRule>
  </conditionalFormatting>
  <conditionalFormatting sqref="E27">
    <cfRule type="iconSet" priority="430">
      <iconSet showValue="0">
        <cfvo type="percent" val="0"/>
        <cfvo type="num" val="50"/>
        <cfvo type="num" val="50"/>
      </iconSet>
    </cfRule>
  </conditionalFormatting>
  <conditionalFormatting sqref="E28">
    <cfRule type="iconSet" priority="70">
      <iconSet showValue="0">
        <cfvo type="percent" val="0"/>
        <cfvo type="num" val="50"/>
        <cfvo type="num" val="50"/>
      </iconSet>
    </cfRule>
  </conditionalFormatting>
  <conditionalFormatting sqref="E29">
    <cfRule type="iconSet" priority="71">
      <iconSet showValue="0">
        <cfvo type="percent" val="0"/>
        <cfvo type="num" val="50"/>
        <cfvo type="num" val="50"/>
      </iconSet>
    </cfRule>
  </conditionalFormatting>
  <conditionalFormatting sqref="E30">
    <cfRule type="iconSet" priority="105">
      <iconSet showValue="0">
        <cfvo type="percent" val="0"/>
        <cfvo type="num" val="50"/>
        <cfvo type="num" val="50"/>
      </iconSet>
    </cfRule>
  </conditionalFormatting>
  <conditionalFormatting sqref="E32:E33">
    <cfRule type="iconSet" priority="438">
      <iconSet showValue="0">
        <cfvo type="percent" val="0"/>
        <cfvo type="num" val="69"/>
        <cfvo type="num" val="78"/>
      </iconSet>
    </cfRule>
    <cfRule type="iconSet" priority="439">
      <iconSet showValue="0">
        <cfvo type="percent" val="0"/>
        <cfvo type="num" val="69"/>
        <cfvo type="num" val="78"/>
      </iconSet>
    </cfRule>
  </conditionalFormatting>
  <conditionalFormatting sqref="E35">
    <cfRule type="iconSet" priority="437">
      <iconSet showValue="0">
        <cfvo type="percent" val="0"/>
        <cfvo type="num" val="69"/>
        <cfvo type="num" val="78"/>
      </iconSet>
    </cfRule>
    <cfRule type="iconSet" priority="436">
      <iconSet showValue="0">
        <cfvo type="percent" val="0"/>
        <cfvo type="num" val="69"/>
        <cfvo type="num" val="78"/>
      </iconSet>
    </cfRule>
  </conditionalFormatting>
  <conditionalFormatting sqref="H12">
    <cfRule type="iconSet" priority="67">
      <iconSet showValue="0">
        <cfvo type="percent" val="0"/>
        <cfvo type="num" val="50"/>
        <cfvo type="num" val="50"/>
      </iconSet>
    </cfRule>
  </conditionalFormatting>
  <conditionalFormatting sqref="H13">
    <cfRule type="iconSet" priority="203">
      <iconSet showValue="0">
        <cfvo type="percent" val="0"/>
        <cfvo type="num" val="69"/>
        <cfvo type="num" val="78"/>
      </iconSet>
    </cfRule>
    <cfRule type="iconSet" priority="204">
      <iconSet showValue="0">
        <cfvo type="percent" val="0"/>
        <cfvo type="num" val="69"/>
        <cfvo type="num" val="78"/>
      </iconSet>
    </cfRule>
  </conditionalFormatting>
  <conditionalFormatting sqref="H14">
    <cfRule type="iconSet" priority="205">
      <iconSet showValue="0">
        <cfvo type="percent" val="0"/>
        <cfvo type="num" val="67"/>
        <cfvo type="num" val="75"/>
      </iconSet>
    </cfRule>
  </conditionalFormatting>
  <conditionalFormatting sqref="H18">
    <cfRule type="iconSet" priority="16">
      <iconSet showValue="0">
        <cfvo type="percent" val="0"/>
        <cfvo type="num" val="69"/>
        <cfvo type="num" val="78"/>
      </iconSet>
    </cfRule>
    <cfRule type="iconSet" priority="15">
      <iconSet showValue="0">
        <cfvo type="percent" val="0"/>
        <cfvo type="num" val="69"/>
        <cfvo type="num" val="78"/>
      </iconSet>
    </cfRule>
  </conditionalFormatting>
  <conditionalFormatting sqref="H19">
    <cfRule type="iconSet" priority="425">
      <iconSet showValue="0">
        <cfvo type="percent" val="0"/>
        <cfvo type="num" val="50"/>
        <cfvo type="num" val="50"/>
      </iconSet>
    </cfRule>
  </conditionalFormatting>
  <conditionalFormatting sqref="H21">
    <cfRule type="iconSet" priority="353">
      <iconSet showValue="0">
        <cfvo type="percent" val="0"/>
        <cfvo type="num" val="70"/>
        <cfvo type="num" val="75"/>
      </iconSet>
    </cfRule>
  </conditionalFormatting>
  <conditionalFormatting sqref="H22">
    <cfRule type="iconSet" priority="344">
      <iconSet showValue="0">
        <cfvo type="percent" val="0"/>
        <cfvo type="num" val="50"/>
        <cfvo type="num" val="50"/>
      </iconSet>
    </cfRule>
  </conditionalFormatting>
  <conditionalFormatting sqref="H23">
    <cfRule type="iconSet" priority="345">
      <iconSet showValue="0">
        <cfvo type="percent" val="0"/>
        <cfvo type="num" val="50"/>
        <cfvo type="num" val="50"/>
      </iconSet>
    </cfRule>
  </conditionalFormatting>
  <conditionalFormatting sqref="H24">
    <cfRule type="iconSet" priority="39">
      <iconSet showValue="0">
        <cfvo type="percent" val="0"/>
        <cfvo type="num" val="69"/>
        <cfvo type="num" val="78"/>
      </iconSet>
    </cfRule>
    <cfRule type="iconSet" priority="38">
      <iconSet showValue="0">
        <cfvo type="percent" val="0"/>
        <cfvo type="num" val="69"/>
        <cfvo type="num" val="78"/>
      </iconSet>
    </cfRule>
  </conditionalFormatting>
  <conditionalFormatting sqref="H26">
    <cfRule type="iconSet" priority="412">
      <iconSet showValue="0">
        <cfvo type="percent" val="0"/>
        <cfvo type="num" val="50"/>
        <cfvo type="num" val="50"/>
      </iconSet>
    </cfRule>
  </conditionalFormatting>
  <conditionalFormatting sqref="H27:H28">
    <cfRule type="iconSet" priority="247">
      <iconSet showValue="0">
        <cfvo type="percent" val="0"/>
        <cfvo type="num" val="69"/>
        <cfvo type="num" val="78"/>
      </iconSet>
    </cfRule>
    <cfRule type="iconSet" priority="248">
      <iconSet showValue="0">
        <cfvo type="percent" val="0"/>
        <cfvo type="num" val="69"/>
        <cfvo type="num" val="78"/>
      </iconSet>
    </cfRule>
  </conditionalFormatting>
  <conditionalFormatting sqref="H29">
    <cfRule type="iconSet" priority="109">
      <iconSet showValue="0">
        <cfvo type="percent" val="0"/>
        <cfvo type="num" val="70"/>
        <cfvo type="num" val="75"/>
      </iconSet>
    </cfRule>
  </conditionalFormatting>
  <conditionalFormatting sqref="H30">
    <cfRule type="iconSet" priority="69">
      <iconSet showValue="0">
        <cfvo type="percent" val="0"/>
        <cfvo type="num" val="50"/>
        <cfvo type="num" val="50"/>
      </iconSet>
    </cfRule>
  </conditionalFormatting>
  <conditionalFormatting sqref="H32">
    <cfRule type="iconSet" priority="148">
      <iconSet showValue="0">
        <cfvo type="percent" val="0"/>
        <cfvo type="num" val="50"/>
        <cfvo type="num" val="50"/>
      </iconSet>
    </cfRule>
  </conditionalFormatting>
  <conditionalFormatting sqref="J12">
    <cfRule type="iconSet" priority="61">
      <iconSet showValue="0">
        <cfvo type="percent" val="0"/>
        <cfvo type="num" val="67"/>
        <cfvo type="num" val="75"/>
      </iconSet>
    </cfRule>
  </conditionalFormatting>
  <conditionalFormatting sqref="J13">
    <cfRule type="iconSet" priority="62">
      <iconSet showValue="0">
        <cfvo type="percent" val="0"/>
        <cfvo type="num" val="67"/>
        <cfvo type="num" val="75"/>
      </iconSet>
    </cfRule>
  </conditionalFormatting>
  <conditionalFormatting sqref="J14">
    <cfRule type="iconSet" priority="200">
      <iconSet showValue="0">
        <cfvo type="percent" val="0"/>
        <cfvo type="num" val="67"/>
        <cfvo type="num" val="75"/>
      </iconSet>
    </cfRule>
  </conditionalFormatting>
  <conditionalFormatting sqref="J16">
    <cfRule type="iconSet" priority="122">
      <iconSet showValue="0">
        <cfvo type="percent" val="0"/>
        <cfvo type="num" val="50"/>
        <cfvo type="num" val="50"/>
      </iconSet>
    </cfRule>
  </conditionalFormatting>
  <conditionalFormatting sqref="J19">
    <cfRule type="iconSet" priority="424">
      <iconSet showValue="0">
        <cfvo type="percent" val="0"/>
        <cfvo type="num" val="69"/>
        <cfvo type="num" val="78"/>
      </iconSet>
    </cfRule>
    <cfRule type="iconSet" priority="423">
      <iconSet showValue="0">
        <cfvo type="percent" val="0"/>
        <cfvo type="num" val="69"/>
        <cfvo type="num" val="78"/>
      </iconSet>
    </cfRule>
  </conditionalFormatting>
  <conditionalFormatting sqref="J21">
    <cfRule type="iconSet" priority="341">
      <iconSet showValue="0">
        <cfvo type="percent" val="0"/>
        <cfvo type="num" val="70"/>
        <cfvo type="num" val="75"/>
      </iconSet>
    </cfRule>
  </conditionalFormatting>
  <conditionalFormatting sqref="J24">
    <cfRule type="iconSet" priority="36">
      <iconSet showValue="0">
        <cfvo type="percent" val="0"/>
        <cfvo type="num" val="69"/>
        <cfvo type="num" val="78"/>
      </iconSet>
    </cfRule>
    <cfRule type="iconSet" priority="37">
      <iconSet showValue="0">
        <cfvo type="percent" val="0"/>
        <cfvo type="num" val="69"/>
        <cfvo type="num" val="78"/>
      </iconSet>
    </cfRule>
  </conditionalFormatting>
  <conditionalFormatting sqref="J32:J33">
    <cfRule type="iconSet" priority="126">
      <iconSet showValue="0">
        <cfvo type="percent" val="0"/>
        <cfvo type="num" val="69"/>
        <cfvo type="num" val="78"/>
      </iconSet>
    </cfRule>
    <cfRule type="iconSet" priority="127">
      <iconSet showValue="0">
        <cfvo type="percent" val="0"/>
        <cfvo type="num" val="69"/>
        <cfvo type="num" val="78"/>
      </iconSet>
    </cfRule>
  </conditionalFormatting>
  <conditionalFormatting sqref="L12">
    <cfRule type="iconSet" priority="66">
      <iconSet showValue="0">
        <cfvo type="percent" val="0"/>
        <cfvo type="num" val="50"/>
        <cfvo type="num" val="50"/>
      </iconSet>
    </cfRule>
  </conditionalFormatting>
  <conditionalFormatting sqref="L13">
    <cfRule type="iconSet" priority="60">
      <iconSet showValue="0">
        <cfvo type="percent" val="0"/>
        <cfvo type="num" val="67"/>
        <cfvo type="num" val="75"/>
      </iconSet>
    </cfRule>
  </conditionalFormatting>
  <conditionalFormatting sqref="L14">
    <cfRule type="iconSet" priority="59">
      <iconSet showValue="0">
        <cfvo type="percent" val="0"/>
        <cfvo type="num" val="67"/>
        <cfvo type="num" val="75"/>
      </iconSet>
    </cfRule>
  </conditionalFormatting>
  <conditionalFormatting sqref="L16">
    <cfRule type="iconSet" priority="121">
      <iconSet showValue="0">
        <cfvo type="percent" val="0"/>
        <cfvo type="num" val="50"/>
        <cfvo type="num" val="50"/>
      </iconSet>
    </cfRule>
  </conditionalFormatting>
  <conditionalFormatting sqref="L17">
    <cfRule type="iconSet" priority="2">
      <iconSet showValue="0">
        <cfvo type="percent" val="0"/>
        <cfvo type="num" val="50"/>
        <cfvo type="num" val="50"/>
      </iconSet>
    </cfRule>
  </conditionalFormatting>
  <conditionalFormatting sqref="L19">
    <cfRule type="iconSet" priority="422">
      <iconSet showValue="0">
        <cfvo type="percent" val="0"/>
        <cfvo type="num" val="50"/>
        <cfvo type="num" val="50"/>
      </iconSet>
    </cfRule>
  </conditionalFormatting>
  <conditionalFormatting sqref="L21">
    <cfRule type="iconSet" priority="332">
      <iconSet showValue="0">
        <cfvo type="percent" val="0"/>
        <cfvo type="num" val="70"/>
        <cfvo type="num" val="75"/>
      </iconSet>
    </cfRule>
  </conditionalFormatting>
  <conditionalFormatting sqref="L22:L23">
    <cfRule type="iconSet" priority="325">
      <iconSet showValue="0">
        <cfvo type="percent" val="0"/>
        <cfvo type="num" val="50"/>
        <cfvo type="num" val="50"/>
      </iconSet>
    </cfRule>
  </conditionalFormatting>
  <conditionalFormatting sqref="L24">
    <cfRule type="iconSet" priority="34">
      <iconSet showValue="0">
        <cfvo type="percent" val="0"/>
        <cfvo type="num" val="69"/>
        <cfvo type="num" val="78"/>
      </iconSet>
    </cfRule>
    <cfRule type="iconSet" priority="35">
      <iconSet showValue="0">
        <cfvo type="percent" val="0"/>
        <cfvo type="num" val="69"/>
        <cfvo type="num" val="78"/>
      </iconSet>
    </cfRule>
  </conditionalFormatting>
  <conditionalFormatting sqref="L26">
    <cfRule type="iconSet" priority="411">
      <iconSet showValue="0">
        <cfvo type="percent" val="0"/>
        <cfvo type="num" val="69"/>
        <cfvo type="num" val="78"/>
      </iconSet>
    </cfRule>
    <cfRule type="iconSet" priority="410">
      <iconSet showValue="0">
        <cfvo type="percent" val="0"/>
        <cfvo type="num" val="69"/>
        <cfvo type="num" val="78"/>
      </iconSet>
    </cfRule>
  </conditionalFormatting>
  <conditionalFormatting sqref="L27:L29">
    <cfRule type="iconSet" priority="245">
      <iconSet showValue="0">
        <cfvo type="percent" val="0"/>
        <cfvo type="num" val="69"/>
        <cfvo type="num" val="78"/>
      </iconSet>
    </cfRule>
    <cfRule type="iconSet" priority="246">
      <iconSet showValue="0">
        <cfvo type="percent" val="0"/>
        <cfvo type="num" val="69"/>
        <cfvo type="num" val="78"/>
      </iconSet>
    </cfRule>
  </conditionalFormatting>
  <conditionalFormatting sqref="L30">
    <cfRule type="iconSet" priority="96">
      <iconSet showValue="0">
        <cfvo type="percent" val="0"/>
        <cfvo type="num" val="70"/>
        <cfvo type="num" val="75"/>
      </iconSet>
    </cfRule>
  </conditionalFormatting>
  <conditionalFormatting sqref="L32:L33">
    <cfRule type="iconSet" priority="129">
      <iconSet showValue="0">
        <cfvo type="percent" val="0"/>
        <cfvo type="num" val="69"/>
        <cfvo type="num" val="78"/>
      </iconSet>
    </cfRule>
    <cfRule type="iconSet" priority="128">
      <iconSet showValue="0">
        <cfvo type="percent" val="0"/>
        <cfvo type="num" val="69"/>
        <cfvo type="num" val="78"/>
      </iconSet>
    </cfRule>
  </conditionalFormatting>
  <conditionalFormatting sqref="N12">
    <cfRule type="iconSet" priority="65">
      <iconSet showValue="0">
        <cfvo type="percent" val="0"/>
        <cfvo type="num" val="50"/>
        <cfvo type="num" val="50"/>
      </iconSet>
    </cfRule>
  </conditionalFormatting>
  <conditionalFormatting sqref="N13">
    <cfRule type="iconSet" priority="58">
      <iconSet showValue="0">
        <cfvo type="percent" val="0"/>
        <cfvo type="num" val="67"/>
        <cfvo type="num" val="75"/>
      </iconSet>
    </cfRule>
  </conditionalFormatting>
  <conditionalFormatting sqref="N14">
    <cfRule type="iconSet" priority="194">
      <iconSet showValue="0">
        <cfvo type="percent" val="0"/>
        <cfvo type="num" val="67"/>
        <cfvo type="num" val="75"/>
      </iconSet>
    </cfRule>
  </conditionalFormatting>
  <conditionalFormatting sqref="N16">
    <cfRule type="iconSet" priority="120">
      <iconSet showValue="0">
        <cfvo type="percent" val="0"/>
        <cfvo type="num" val="50"/>
        <cfvo type="num" val="50"/>
      </iconSet>
    </cfRule>
  </conditionalFormatting>
  <conditionalFormatting sqref="N18">
    <cfRule type="iconSet" priority="13">
      <iconSet showValue="0">
        <cfvo type="percent" val="0"/>
        <cfvo type="num" val="69"/>
        <cfvo type="num" val="78"/>
      </iconSet>
    </cfRule>
    <cfRule type="iconSet" priority="14">
      <iconSet showValue="0">
        <cfvo type="percent" val="0"/>
        <cfvo type="num" val="69"/>
        <cfvo type="num" val="78"/>
      </iconSet>
    </cfRule>
  </conditionalFormatting>
  <conditionalFormatting sqref="N19">
    <cfRule type="iconSet" priority="421">
      <iconSet showValue="0">
        <cfvo type="percent" val="0"/>
        <cfvo type="num" val="69"/>
        <cfvo type="num" val="78"/>
      </iconSet>
    </cfRule>
    <cfRule type="iconSet" priority="420">
      <iconSet showValue="0">
        <cfvo type="percent" val="0"/>
        <cfvo type="num" val="69"/>
        <cfvo type="num" val="78"/>
      </iconSet>
    </cfRule>
  </conditionalFormatting>
  <conditionalFormatting sqref="N21">
    <cfRule type="iconSet" priority="273">
      <iconSet showValue="0">
        <cfvo type="percent" val="0"/>
        <cfvo type="num" val="70"/>
        <cfvo type="num" val="75"/>
      </iconSet>
    </cfRule>
  </conditionalFormatting>
  <conditionalFormatting sqref="N22">
    <cfRule type="iconSet" priority="271">
      <iconSet showValue="0">
        <cfvo type="percent" val="0"/>
        <cfvo type="num" val="50"/>
        <cfvo type="num" val="50"/>
      </iconSet>
    </cfRule>
  </conditionalFormatting>
  <conditionalFormatting sqref="N23">
    <cfRule type="iconSet" priority="269">
      <iconSet showValue="0">
        <cfvo type="percent" val="0"/>
        <cfvo type="num" val="69"/>
        <cfvo type="num" val="78"/>
      </iconSet>
    </cfRule>
    <cfRule type="iconSet" priority="270">
      <iconSet showValue="0">
        <cfvo type="percent" val="0"/>
        <cfvo type="num" val="69"/>
        <cfvo type="num" val="78"/>
      </iconSet>
    </cfRule>
  </conditionalFormatting>
  <conditionalFormatting sqref="N24">
    <cfRule type="iconSet" priority="40">
      <iconSet showValue="0">
        <cfvo type="percent" val="0"/>
        <cfvo type="num" val="50"/>
        <cfvo type="num" val="50"/>
      </iconSet>
    </cfRule>
  </conditionalFormatting>
  <conditionalFormatting sqref="N26:N27">
    <cfRule type="iconSet" priority="409">
      <iconSet showValue="0">
        <cfvo type="percent" val="0"/>
        <cfvo type="num" val="50"/>
        <cfvo type="num" val="50"/>
      </iconSet>
    </cfRule>
  </conditionalFormatting>
  <conditionalFormatting sqref="N28">
    <cfRule type="iconSet" priority="236">
      <iconSet showValue="0">
        <cfvo type="percent" val="0"/>
        <cfvo type="num" val="69"/>
        <cfvo type="num" val="78"/>
      </iconSet>
    </cfRule>
    <cfRule type="iconSet" priority="235">
      <iconSet showValue="0">
        <cfvo type="percent" val="0"/>
        <cfvo type="num" val="69"/>
        <cfvo type="num" val="78"/>
      </iconSet>
    </cfRule>
  </conditionalFormatting>
  <conditionalFormatting sqref="N29">
    <cfRule type="iconSet" priority="108">
      <iconSet showValue="0">
        <cfvo type="percent" val="0"/>
        <cfvo type="num" val="70"/>
        <cfvo type="num" val="75"/>
      </iconSet>
    </cfRule>
  </conditionalFormatting>
  <conditionalFormatting sqref="N30">
    <cfRule type="iconSet" priority="95">
      <iconSet showValue="0">
        <cfvo type="percent" val="0"/>
        <cfvo type="num" val="70"/>
        <cfvo type="num" val="75"/>
      </iconSet>
    </cfRule>
  </conditionalFormatting>
  <conditionalFormatting sqref="N32">
    <cfRule type="iconSet" priority="130">
      <iconSet showValue="0">
        <cfvo type="percent" val="0"/>
        <cfvo type="num" val="69"/>
        <cfvo type="num" val="78"/>
      </iconSet>
    </cfRule>
    <cfRule type="iconSet" priority="131">
      <iconSet showValue="0">
        <cfvo type="percent" val="0"/>
        <cfvo type="num" val="69"/>
        <cfvo type="num" val="78"/>
      </iconSet>
    </cfRule>
  </conditionalFormatting>
  <conditionalFormatting sqref="N33 H33">
    <cfRule type="iconSet" priority="580">
      <iconSet showValue="0">
        <cfvo type="percent" val="0"/>
        <cfvo type="num" val="50"/>
        <cfvo type="num" val="100"/>
      </iconSet>
    </cfRule>
  </conditionalFormatting>
  <conditionalFormatting sqref="P12">
    <cfRule type="iconSet" priority="57">
      <iconSet showValue="0">
        <cfvo type="percent" val="0"/>
        <cfvo type="num" val="67"/>
        <cfvo type="num" val="75"/>
      </iconSet>
    </cfRule>
  </conditionalFormatting>
  <conditionalFormatting sqref="P13">
    <cfRule type="iconSet" priority="56">
      <iconSet showValue="0">
        <cfvo type="percent" val="0"/>
        <cfvo type="num" val="67"/>
        <cfvo type="num" val="75"/>
      </iconSet>
    </cfRule>
  </conditionalFormatting>
  <conditionalFormatting sqref="P14">
    <cfRule type="iconSet" priority="165">
      <iconSet showValue="0">
        <cfvo type="percent" val="0"/>
        <cfvo type="num" val="67"/>
        <cfvo type="num" val="75"/>
      </iconSet>
    </cfRule>
  </conditionalFormatting>
  <conditionalFormatting sqref="P16">
    <cfRule type="iconSet" priority="119">
      <iconSet showValue="0">
        <cfvo type="percent" val="0"/>
        <cfvo type="num" val="50"/>
        <cfvo type="num" val="50"/>
      </iconSet>
    </cfRule>
  </conditionalFormatting>
  <conditionalFormatting sqref="P19">
    <cfRule type="iconSet" priority="20">
      <iconSet showValue="0">
        <cfvo type="percent" val="0"/>
        <cfvo type="num" val="69"/>
        <cfvo type="num" val="78"/>
      </iconSet>
    </cfRule>
    <cfRule type="iconSet" priority="19">
      <iconSet showValue="0">
        <cfvo type="percent" val="0"/>
        <cfvo type="num" val="69"/>
        <cfvo type="num" val="78"/>
      </iconSet>
    </cfRule>
  </conditionalFormatting>
  <conditionalFormatting sqref="P21">
    <cfRule type="iconSet" priority="389">
      <iconSet showValue="0">
        <cfvo type="percent" val="0"/>
        <cfvo type="num" val="50"/>
        <cfvo type="num" val="50"/>
      </iconSet>
    </cfRule>
  </conditionalFormatting>
  <conditionalFormatting sqref="P22:P23">
    <cfRule type="iconSet" priority="388">
      <iconSet showValue="0">
        <cfvo type="percent" val="0"/>
        <cfvo type="num" val="69"/>
        <cfvo type="num" val="78"/>
      </iconSet>
    </cfRule>
    <cfRule type="iconSet" priority="387">
      <iconSet showValue="0">
        <cfvo type="percent" val="0"/>
        <cfvo type="num" val="69"/>
        <cfvo type="num" val="78"/>
      </iconSet>
    </cfRule>
  </conditionalFormatting>
  <conditionalFormatting sqref="P24">
    <cfRule type="iconSet" priority="392">
      <iconSet showValue="0">
        <cfvo type="percent" val="0"/>
        <cfvo type="num" val="50"/>
        <cfvo type="num" val="50"/>
      </iconSet>
    </cfRule>
  </conditionalFormatting>
  <conditionalFormatting sqref="P26">
    <cfRule type="iconSet" priority="408">
      <iconSet showValue="0">
        <cfvo type="percent" val="0"/>
        <cfvo type="num" val="50"/>
        <cfvo type="num" val="50"/>
      </iconSet>
    </cfRule>
  </conditionalFormatting>
  <conditionalFormatting sqref="P27">
    <cfRule type="iconSet" priority="244">
      <iconSet showValue="0">
        <cfvo type="percent" val="0"/>
        <cfvo type="num" val="50"/>
        <cfvo type="num" val="50"/>
      </iconSet>
    </cfRule>
  </conditionalFormatting>
  <conditionalFormatting sqref="P28:P29">
    <cfRule type="iconSet" priority="234">
      <iconSet showValue="0">
        <cfvo type="percent" val="0"/>
        <cfvo type="num" val="69"/>
        <cfvo type="num" val="78"/>
      </iconSet>
    </cfRule>
    <cfRule type="iconSet" priority="233">
      <iconSet showValue="0">
        <cfvo type="percent" val="0"/>
        <cfvo type="num" val="69"/>
        <cfvo type="num" val="78"/>
      </iconSet>
    </cfRule>
  </conditionalFormatting>
  <conditionalFormatting sqref="P30">
    <cfRule type="iconSet" priority="93">
      <iconSet showValue="0">
        <cfvo type="percent" val="0"/>
        <cfvo type="num" val="69"/>
        <cfvo type="num" val="78"/>
      </iconSet>
    </cfRule>
    <cfRule type="iconSet" priority="94">
      <iconSet showValue="0">
        <cfvo type="percent" val="0"/>
        <cfvo type="num" val="69"/>
        <cfvo type="num" val="78"/>
      </iconSet>
    </cfRule>
  </conditionalFormatting>
  <conditionalFormatting sqref="P32">
    <cfRule type="iconSet" priority="1743">
      <iconSet showValue="0">
        <cfvo type="percent" val="0"/>
        <cfvo type="num" val="50"/>
        <cfvo type="num" val="100"/>
      </iconSet>
    </cfRule>
  </conditionalFormatting>
  <conditionalFormatting sqref="R12">
    <cfRule type="iconSet" priority="55">
      <iconSet showValue="0">
        <cfvo type="percent" val="0"/>
        <cfvo type="num" val="67"/>
        <cfvo type="num" val="75"/>
      </iconSet>
    </cfRule>
  </conditionalFormatting>
  <conditionalFormatting sqref="R13">
    <cfRule type="iconSet" priority="54">
      <iconSet showValue="0">
        <cfvo type="percent" val="0"/>
        <cfvo type="num" val="67"/>
        <cfvo type="num" val="75"/>
      </iconSet>
    </cfRule>
  </conditionalFormatting>
  <conditionalFormatting sqref="R14">
    <cfRule type="iconSet" priority="191">
      <iconSet showValue="0">
        <cfvo type="percent" val="0"/>
        <cfvo type="num" val="67"/>
        <cfvo type="num" val="75"/>
      </iconSet>
    </cfRule>
  </conditionalFormatting>
  <conditionalFormatting sqref="R16">
    <cfRule type="iconSet" priority="118">
      <iconSet showValue="0">
        <cfvo type="percent" val="0"/>
        <cfvo type="num" val="50"/>
        <cfvo type="num" val="50"/>
      </iconSet>
    </cfRule>
  </conditionalFormatting>
  <conditionalFormatting sqref="R18">
    <cfRule type="iconSet" priority="5">
      <iconSet showValue="0">
        <cfvo type="percent" val="0"/>
        <cfvo type="num" val="50"/>
        <cfvo type="num" val="50"/>
      </iconSet>
    </cfRule>
  </conditionalFormatting>
  <conditionalFormatting sqref="R19">
    <cfRule type="iconSet" priority="419">
      <iconSet showValue="0">
        <cfvo type="percent" val="0"/>
        <cfvo type="num" val="50"/>
        <cfvo type="num" val="50"/>
      </iconSet>
    </cfRule>
  </conditionalFormatting>
  <conditionalFormatting sqref="R21">
    <cfRule type="iconSet" priority="260">
      <iconSet showValue="0">
        <cfvo type="percent" val="0"/>
        <cfvo type="num" val="70"/>
        <cfvo type="num" val="75"/>
      </iconSet>
    </cfRule>
  </conditionalFormatting>
  <conditionalFormatting sqref="R22">
    <cfRule type="iconSet" priority="250">
      <iconSet showValue="0">
        <cfvo type="percent" val="0"/>
        <cfvo type="num" val="50"/>
        <cfvo type="num" val="50"/>
      </iconSet>
    </cfRule>
  </conditionalFormatting>
  <conditionalFormatting sqref="R23:R24">
    <cfRule type="iconSet" priority="249">
      <iconSet showValue="0">
        <cfvo type="percent" val="0"/>
        <cfvo type="num" val="50"/>
        <cfvo type="num" val="50"/>
      </iconSet>
    </cfRule>
  </conditionalFormatting>
  <conditionalFormatting sqref="R26">
    <cfRule type="iconSet" priority="407">
      <iconSet showValue="0">
        <cfvo type="percent" val="0"/>
        <cfvo type="num" val="50"/>
        <cfvo type="num" val="50"/>
      </iconSet>
    </cfRule>
  </conditionalFormatting>
  <conditionalFormatting sqref="R27">
    <cfRule type="iconSet" priority="243">
      <iconSet showValue="0">
        <cfvo type="percent" val="0"/>
        <cfvo type="num" val="69"/>
        <cfvo type="num" val="78"/>
      </iconSet>
    </cfRule>
    <cfRule type="iconSet" priority="242">
      <iconSet showValue="0">
        <cfvo type="percent" val="0"/>
        <cfvo type="num" val="69"/>
        <cfvo type="num" val="78"/>
      </iconSet>
    </cfRule>
  </conditionalFormatting>
  <conditionalFormatting sqref="R28">
    <cfRule type="iconSet" priority="232">
      <iconSet showValue="0">
        <cfvo type="percent" val="0"/>
        <cfvo type="num" val="69"/>
        <cfvo type="num" val="78"/>
      </iconSet>
    </cfRule>
    <cfRule type="iconSet" priority="231">
      <iconSet showValue="0">
        <cfvo type="percent" val="0"/>
        <cfvo type="num" val="69"/>
        <cfvo type="num" val="78"/>
      </iconSet>
    </cfRule>
  </conditionalFormatting>
  <conditionalFormatting sqref="R29">
    <cfRule type="iconSet" priority="211">
      <iconSet showValue="0">
        <cfvo type="percent" val="0"/>
        <cfvo type="num" val="50"/>
        <cfvo type="num" val="50"/>
      </iconSet>
    </cfRule>
  </conditionalFormatting>
  <conditionalFormatting sqref="R30">
    <cfRule type="iconSet" priority="102">
      <iconSet showValue="0">
        <cfvo type="percent" val="0"/>
        <cfvo type="num" val="69"/>
        <cfvo type="num" val="78"/>
      </iconSet>
    </cfRule>
    <cfRule type="iconSet" priority="101">
      <iconSet showValue="0">
        <cfvo type="percent" val="0"/>
        <cfvo type="num" val="69"/>
        <cfvo type="num" val="78"/>
      </iconSet>
    </cfRule>
  </conditionalFormatting>
  <conditionalFormatting sqref="R32:R33">
    <cfRule type="iconSet" priority="132">
      <iconSet showValue="0">
        <cfvo type="percent" val="0"/>
        <cfvo type="num" val="69"/>
        <cfvo type="num" val="78"/>
      </iconSet>
    </cfRule>
    <cfRule type="iconSet" priority="133">
      <iconSet showValue="0">
        <cfvo type="percent" val="0"/>
        <cfvo type="num" val="69"/>
        <cfvo type="num" val="78"/>
      </iconSet>
    </cfRule>
  </conditionalFormatting>
  <conditionalFormatting sqref="T12">
    <cfRule type="iconSet" priority="53">
      <iconSet showValue="0">
        <cfvo type="percent" val="0"/>
        <cfvo type="num" val="67"/>
        <cfvo type="num" val="75"/>
      </iconSet>
    </cfRule>
  </conditionalFormatting>
  <conditionalFormatting sqref="T13">
    <cfRule type="iconSet" priority="52">
      <iconSet showValue="0">
        <cfvo type="percent" val="0"/>
        <cfvo type="num" val="67"/>
        <cfvo type="num" val="75"/>
      </iconSet>
    </cfRule>
  </conditionalFormatting>
  <conditionalFormatting sqref="T14">
    <cfRule type="iconSet" priority="51">
      <iconSet showValue="0">
        <cfvo type="percent" val="0"/>
        <cfvo type="num" val="67"/>
        <cfvo type="num" val="75"/>
      </iconSet>
    </cfRule>
  </conditionalFormatting>
  <conditionalFormatting sqref="T16">
    <cfRule type="iconSet" priority="117">
      <iconSet showValue="0">
        <cfvo type="percent" val="0"/>
        <cfvo type="num" val="50"/>
        <cfvo type="num" val="50"/>
      </iconSet>
    </cfRule>
  </conditionalFormatting>
  <conditionalFormatting sqref="T18">
    <cfRule type="iconSet" priority="12">
      <iconSet showValue="0">
        <cfvo type="percent" val="0"/>
        <cfvo type="num" val="69"/>
        <cfvo type="num" val="78"/>
      </iconSet>
    </cfRule>
    <cfRule type="iconSet" priority="11">
      <iconSet showValue="0">
        <cfvo type="percent" val="0"/>
        <cfvo type="num" val="69"/>
        <cfvo type="num" val="78"/>
      </iconSet>
    </cfRule>
  </conditionalFormatting>
  <conditionalFormatting sqref="T19">
    <cfRule type="iconSet" priority="417">
      <iconSet showValue="0">
        <cfvo type="percent" val="0"/>
        <cfvo type="num" val="69"/>
        <cfvo type="num" val="78"/>
      </iconSet>
    </cfRule>
    <cfRule type="iconSet" priority="418">
      <iconSet showValue="0">
        <cfvo type="percent" val="0"/>
        <cfvo type="num" val="69"/>
        <cfvo type="num" val="78"/>
      </iconSet>
    </cfRule>
  </conditionalFormatting>
  <conditionalFormatting sqref="T21">
    <cfRule type="iconSet" priority="324">
      <iconSet showValue="0">
        <cfvo type="percent" val="0"/>
        <cfvo type="num" val="70"/>
        <cfvo type="num" val="75"/>
      </iconSet>
    </cfRule>
  </conditionalFormatting>
  <conditionalFormatting sqref="T22:T24">
    <cfRule type="iconSet" priority="316">
      <iconSet showValue="0">
        <cfvo type="percent" val="0"/>
        <cfvo type="num" val="69"/>
        <cfvo type="num" val="78"/>
      </iconSet>
    </cfRule>
    <cfRule type="iconSet" priority="315">
      <iconSet showValue="0">
        <cfvo type="percent" val="0"/>
        <cfvo type="num" val="69"/>
        <cfvo type="num" val="78"/>
      </iconSet>
    </cfRule>
  </conditionalFormatting>
  <conditionalFormatting sqref="T26">
    <cfRule type="iconSet" priority="406">
      <iconSet showValue="0">
        <cfvo type="percent" val="0"/>
        <cfvo type="num" val="69"/>
        <cfvo type="num" val="78"/>
      </iconSet>
    </cfRule>
    <cfRule type="iconSet" priority="405">
      <iconSet showValue="0">
        <cfvo type="percent" val="0"/>
        <cfvo type="num" val="69"/>
        <cfvo type="num" val="78"/>
      </iconSet>
    </cfRule>
  </conditionalFormatting>
  <conditionalFormatting sqref="T27">
    <cfRule type="iconSet" priority="241">
      <iconSet showValue="0">
        <cfvo type="percent" val="0"/>
        <cfvo type="num" val="69"/>
        <cfvo type="num" val="78"/>
      </iconSet>
    </cfRule>
    <cfRule type="iconSet" priority="240">
      <iconSet showValue="0">
        <cfvo type="percent" val="0"/>
        <cfvo type="num" val="69"/>
        <cfvo type="num" val="78"/>
      </iconSet>
    </cfRule>
  </conditionalFormatting>
  <conditionalFormatting sqref="T28:T29">
    <cfRule type="iconSet" priority="230">
      <iconSet showValue="0">
        <cfvo type="percent" val="0"/>
        <cfvo type="num" val="69"/>
        <cfvo type="num" val="78"/>
      </iconSet>
    </cfRule>
    <cfRule type="iconSet" priority="229">
      <iconSet showValue="0">
        <cfvo type="percent" val="0"/>
        <cfvo type="num" val="69"/>
        <cfvo type="num" val="78"/>
      </iconSet>
    </cfRule>
  </conditionalFormatting>
  <conditionalFormatting sqref="T30">
    <cfRule type="iconSet" priority="73">
      <iconSet showValue="0">
        <cfvo type="percent" val="0"/>
        <cfvo type="num" val="70"/>
        <cfvo type="num" val="75"/>
      </iconSet>
    </cfRule>
  </conditionalFormatting>
  <conditionalFormatting sqref="T32">
    <cfRule type="iconSet" priority="134">
      <iconSet showValue="0">
        <cfvo type="percent" val="0"/>
        <cfvo type="num" val="69"/>
        <cfvo type="num" val="78"/>
      </iconSet>
    </cfRule>
    <cfRule type="iconSet" priority="135">
      <iconSet showValue="0">
        <cfvo type="percent" val="0"/>
        <cfvo type="num" val="69"/>
        <cfvo type="num" val="78"/>
      </iconSet>
    </cfRule>
  </conditionalFormatting>
  <conditionalFormatting sqref="T33">
    <cfRule type="iconSet" priority="1335">
      <iconSet showValue="0">
        <cfvo type="percent" val="0"/>
        <cfvo type="num" val="50"/>
        <cfvo type="num" val="100"/>
      </iconSet>
    </cfRule>
  </conditionalFormatting>
  <conditionalFormatting sqref="V12">
    <cfRule type="iconSet" priority="64">
      <iconSet showValue="0">
        <cfvo type="percent" val="0"/>
        <cfvo type="num" val="50"/>
        <cfvo type="num" val="50"/>
      </iconSet>
    </cfRule>
  </conditionalFormatting>
  <conditionalFormatting sqref="V13">
    <cfRule type="iconSet" priority="50">
      <iconSet showValue="0">
        <cfvo type="percent" val="0"/>
        <cfvo type="num" val="67"/>
        <cfvo type="num" val="75"/>
      </iconSet>
    </cfRule>
  </conditionalFormatting>
  <conditionalFormatting sqref="V14">
    <cfRule type="iconSet" priority="186">
      <iconSet showValue="0">
        <cfvo type="percent" val="0"/>
        <cfvo type="num" val="70"/>
        <cfvo type="num" val="75"/>
      </iconSet>
    </cfRule>
  </conditionalFormatting>
  <conditionalFormatting sqref="V16">
    <cfRule type="iconSet" priority="116">
      <iconSet showValue="0">
        <cfvo type="percent" val="0"/>
        <cfvo type="num" val="50"/>
        <cfvo type="num" val="100"/>
      </iconSet>
    </cfRule>
  </conditionalFormatting>
  <conditionalFormatting sqref="V17">
    <cfRule type="iconSet" priority="125">
      <iconSet showValue="0">
        <cfvo type="percent" val="0"/>
        <cfvo type="num" val="50"/>
        <cfvo type="num" val="100"/>
      </iconSet>
    </cfRule>
  </conditionalFormatting>
  <conditionalFormatting sqref="V19">
    <cfRule type="iconSet" priority="123">
      <iconSet showValue="0">
        <cfvo type="percent" val="0"/>
        <cfvo type="num" val="50"/>
        <cfvo type="num" val="50"/>
      </iconSet>
    </cfRule>
  </conditionalFormatting>
  <conditionalFormatting sqref="V21">
    <cfRule type="iconSet" priority="314">
      <iconSet showValue="0">
        <cfvo type="percent" val="0"/>
        <cfvo type="num" val="70"/>
        <cfvo type="num" val="75"/>
      </iconSet>
    </cfRule>
  </conditionalFormatting>
  <conditionalFormatting sqref="V22:V23">
    <cfRule type="iconSet" priority="309">
      <iconSet showValue="0">
        <cfvo type="percent" val="0"/>
        <cfvo type="num" val="50"/>
        <cfvo type="num" val="50"/>
      </iconSet>
    </cfRule>
  </conditionalFormatting>
  <conditionalFormatting sqref="V24">
    <cfRule type="iconSet" priority="33">
      <iconSet showValue="0">
        <cfvo type="percent" val="0"/>
        <cfvo type="num" val="69"/>
        <cfvo type="num" val="78"/>
      </iconSet>
    </cfRule>
    <cfRule type="iconSet" priority="32">
      <iconSet showValue="0">
        <cfvo type="percent" val="0"/>
        <cfvo type="num" val="69"/>
        <cfvo type="num" val="78"/>
      </iconSet>
    </cfRule>
  </conditionalFormatting>
  <conditionalFormatting sqref="V26:V27">
    <cfRule type="iconSet" priority="402">
      <iconSet showValue="0">
        <cfvo type="percent" val="0"/>
        <cfvo type="num" val="50"/>
        <cfvo type="num" val="50"/>
      </iconSet>
    </cfRule>
  </conditionalFormatting>
  <conditionalFormatting sqref="V28">
    <cfRule type="iconSet" priority="225">
      <iconSet showValue="0">
        <cfvo type="percent" val="0"/>
        <cfvo type="num" val="69"/>
        <cfvo type="num" val="78"/>
      </iconSet>
    </cfRule>
    <cfRule type="iconSet" priority="226">
      <iconSet showValue="0">
        <cfvo type="percent" val="0"/>
        <cfvo type="num" val="69"/>
        <cfvo type="num" val="78"/>
      </iconSet>
    </cfRule>
  </conditionalFormatting>
  <conditionalFormatting sqref="V30">
    <cfRule type="iconSet" priority="100">
      <iconSet showValue="0">
        <cfvo type="percent" val="0"/>
        <cfvo type="num" val="69"/>
        <cfvo type="num" val="78"/>
      </iconSet>
    </cfRule>
    <cfRule type="iconSet" priority="99">
      <iconSet showValue="0">
        <cfvo type="percent" val="0"/>
        <cfvo type="num" val="69"/>
        <cfvo type="num" val="78"/>
      </iconSet>
    </cfRule>
  </conditionalFormatting>
  <conditionalFormatting sqref="V32">
    <cfRule type="iconSet" priority="136">
      <iconSet showValue="0">
        <cfvo type="percent" val="0"/>
        <cfvo type="num" val="69"/>
        <cfvo type="num" val="78"/>
      </iconSet>
    </cfRule>
    <cfRule type="iconSet" priority="137">
      <iconSet showValue="0">
        <cfvo type="percent" val="0"/>
        <cfvo type="num" val="69"/>
        <cfvo type="num" val="78"/>
      </iconSet>
    </cfRule>
  </conditionalFormatting>
  <conditionalFormatting sqref="X13">
    <cfRule type="iconSet" priority="49">
      <iconSet showValue="0">
        <cfvo type="percent" val="0"/>
        <cfvo type="num" val="67"/>
        <cfvo type="num" val="75"/>
      </iconSet>
    </cfRule>
  </conditionalFormatting>
  <conditionalFormatting sqref="X14">
    <cfRule type="iconSet" priority="183">
      <iconSet showValue="0">
        <cfvo type="percent" val="0"/>
        <cfvo type="num" val="67"/>
        <cfvo type="num" val="75"/>
      </iconSet>
    </cfRule>
  </conditionalFormatting>
  <conditionalFormatting sqref="X16">
    <cfRule type="iconSet" priority="115">
      <iconSet showValue="0">
        <cfvo type="percent" val="0"/>
        <cfvo type="num" val="50"/>
        <cfvo type="num" val="50"/>
      </iconSet>
    </cfRule>
  </conditionalFormatting>
  <conditionalFormatting sqref="X19">
    <cfRule type="iconSet" priority="18">
      <iconSet showValue="0">
        <cfvo type="percent" val="0"/>
        <cfvo type="num" val="69"/>
        <cfvo type="num" val="78"/>
      </iconSet>
    </cfRule>
    <cfRule type="iconSet" priority="17">
      <iconSet showValue="0">
        <cfvo type="percent" val="0"/>
        <cfvo type="num" val="69"/>
        <cfvo type="num" val="78"/>
      </iconSet>
    </cfRule>
  </conditionalFormatting>
  <conditionalFormatting sqref="X21:X22">
    <cfRule type="iconSet" priority="308">
      <iconSet showValue="0">
        <cfvo type="percent" val="0"/>
        <cfvo type="num" val="70"/>
        <cfvo type="num" val="75"/>
      </iconSet>
    </cfRule>
  </conditionalFormatting>
  <conditionalFormatting sqref="X23">
    <cfRule type="iconSet" priority="302">
      <iconSet showValue="0">
        <cfvo type="percent" val="0"/>
        <cfvo type="num" val="70"/>
        <cfvo type="num" val="75"/>
      </iconSet>
    </cfRule>
  </conditionalFormatting>
  <conditionalFormatting sqref="X24">
    <cfRule type="iconSet" priority="30">
      <iconSet showValue="0">
        <cfvo type="percent" val="0"/>
        <cfvo type="num" val="69"/>
        <cfvo type="num" val="78"/>
      </iconSet>
    </cfRule>
    <cfRule type="iconSet" priority="31">
      <iconSet showValue="0">
        <cfvo type="percent" val="0"/>
        <cfvo type="num" val="69"/>
        <cfvo type="num" val="78"/>
      </iconSet>
    </cfRule>
  </conditionalFormatting>
  <conditionalFormatting sqref="X27 V29">
    <cfRule type="iconSet" priority="1784">
      <iconSet showValue="0">
        <cfvo type="percent" val="0"/>
        <cfvo type="num" val="100"/>
        <cfvo type="num" val="100"/>
      </iconSet>
    </cfRule>
    <cfRule type="iconSet" priority="1785">
      <iconSet>
        <cfvo type="percent" val="0"/>
        <cfvo type="percent" val="33"/>
        <cfvo type="percent" val="67"/>
      </iconSet>
    </cfRule>
  </conditionalFormatting>
  <conditionalFormatting sqref="X28:X29">
    <cfRule type="iconSet" priority="224">
      <iconSet showValue="0">
        <cfvo type="percent" val="0"/>
        <cfvo type="num" val="69"/>
        <cfvo type="num" val="78"/>
      </iconSet>
    </cfRule>
    <cfRule type="iconSet" priority="223">
      <iconSet showValue="0">
        <cfvo type="percent" val="0"/>
        <cfvo type="num" val="69"/>
        <cfvo type="num" val="78"/>
      </iconSet>
    </cfRule>
  </conditionalFormatting>
  <conditionalFormatting sqref="X30">
    <cfRule type="iconSet" priority="92">
      <iconSet showValue="0">
        <cfvo type="percent" val="0"/>
        <cfvo type="num" val="70"/>
        <cfvo type="num" val="75"/>
      </iconSet>
    </cfRule>
  </conditionalFormatting>
  <conditionalFormatting sqref="X32">
    <cfRule type="iconSet" priority="138">
      <iconSet showValue="0">
        <cfvo type="percent" val="0"/>
        <cfvo type="num" val="69"/>
        <cfvo type="num" val="78"/>
      </iconSet>
    </cfRule>
    <cfRule type="iconSet" priority="139">
      <iconSet showValue="0">
        <cfvo type="percent" val="0"/>
        <cfvo type="num" val="69"/>
        <cfvo type="num" val="78"/>
      </iconSet>
    </cfRule>
  </conditionalFormatting>
  <conditionalFormatting sqref="Z13">
    <cfRule type="iconSet" priority="48">
      <iconSet showValue="0">
        <cfvo type="percent" val="0"/>
        <cfvo type="num" val="67"/>
        <cfvo type="num" val="75"/>
      </iconSet>
    </cfRule>
  </conditionalFormatting>
  <conditionalFormatting sqref="Z14">
    <cfRule type="iconSet" priority="180">
      <iconSet showValue="0">
        <cfvo type="percent" val="0"/>
        <cfvo type="num" val="67"/>
        <cfvo type="num" val="75"/>
      </iconSet>
    </cfRule>
  </conditionalFormatting>
  <conditionalFormatting sqref="Z16">
    <cfRule type="iconSet" priority="114">
      <iconSet showValue="0">
        <cfvo type="percent" val="0"/>
        <cfvo type="num" val="50"/>
        <cfvo type="num" val="50"/>
      </iconSet>
    </cfRule>
  </conditionalFormatting>
  <conditionalFormatting sqref="Z18">
    <cfRule type="iconSet" priority="4">
      <iconSet showValue="0">
        <cfvo type="percent" val="0"/>
        <cfvo type="num" val="50"/>
        <cfvo type="num" val="50"/>
      </iconSet>
    </cfRule>
  </conditionalFormatting>
  <conditionalFormatting sqref="Z19">
    <cfRule type="iconSet" priority="23">
      <iconSet showValue="0">
        <cfvo type="percent" val="0"/>
        <cfvo type="num" val="69"/>
        <cfvo type="num" val="78"/>
      </iconSet>
    </cfRule>
    <cfRule type="iconSet" priority="22">
      <iconSet showValue="0">
        <cfvo type="percent" val="0"/>
        <cfvo type="num" val="69"/>
        <cfvo type="num" val="78"/>
      </iconSet>
    </cfRule>
  </conditionalFormatting>
  <conditionalFormatting sqref="Z21">
    <cfRule type="iconSet" priority="42">
      <iconSet showValue="0">
        <cfvo type="percent" val="0"/>
        <cfvo type="num" val="50"/>
        <cfvo type="num" val="50"/>
      </iconSet>
    </cfRule>
  </conditionalFormatting>
  <conditionalFormatting sqref="Z22">
    <cfRule type="iconSet" priority="380">
      <iconSet showValue="0">
        <cfvo type="percent" val="0"/>
        <cfvo type="num" val="50"/>
        <cfvo type="num" val="50"/>
      </iconSet>
    </cfRule>
  </conditionalFormatting>
  <conditionalFormatting sqref="Z23:Z24">
    <cfRule type="iconSet" priority="43">
      <iconSet showValue="0">
        <cfvo type="percent" val="0"/>
        <cfvo type="num" val="70"/>
        <cfvo type="num" val="75"/>
      </iconSet>
    </cfRule>
  </conditionalFormatting>
  <conditionalFormatting sqref="Z26:Z27">
    <cfRule type="iconSet" priority="401">
      <iconSet showValue="0">
        <cfvo type="percent" val="0"/>
        <cfvo type="num" val="50"/>
        <cfvo type="num" val="50"/>
      </iconSet>
    </cfRule>
  </conditionalFormatting>
  <conditionalFormatting sqref="Z28">
    <cfRule type="iconSet" priority="221">
      <iconSet showValue="0">
        <cfvo type="percent" val="0"/>
        <cfvo type="num" val="69"/>
        <cfvo type="num" val="78"/>
      </iconSet>
    </cfRule>
    <cfRule type="iconSet" priority="222">
      <iconSet showValue="0">
        <cfvo type="percent" val="0"/>
        <cfvo type="num" val="69"/>
        <cfvo type="num" val="78"/>
      </iconSet>
    </cfRule>
  </conditionalFormatting>
  <conditionalFormatting sqref="Z29">
    <cfRule type="iconSet" priority="74">
      <iconSet showValue="0">
        <cfvo type="percent" val="0"/>
        <cfvo type="num" val="69"/>
        <cfvo type="num" val="78"/>
      </iconSet>
    </cfRule>
    <cfRule type="iconSet" priority="75">
      <iconSet showValue="0">
        <cfvo type="percent" val="0"/>
        <cfvo type="num" val="69"/>
        <cfvo type="num" val="78"/>
      </iconSet>
    </cfRule>
  </conditionalFormatting>
  <conditionalFormatting sqref="Z30">
    <cfRule type="iconSet" priority="90">
      <iconSet showValue="0">
        <cfvo type="percent" val="0"/>
        <cfvo type="num" val="69"/>
        <cfvo type="num" val="78"/>
      </iconSet>
    </cfRule>
    <cfRule type="iconSet" priority="91">
      <iconSet showValue="0">
        <cfvo type="percent" val="0"/>
        <cfvo type="num" val="69"/>
        <cfvo type="num" val="78"/>
      </iconSet>
    </cfRule>
  </conditionalFormatting>
  <conditionalFormatting sqref="Z32">
    <cfRule type="iconSet" priority="141">
      <iconSet showValue="0">
        <cfvo type="percent" val="0"/>
        <cfvo type="num" val="69"/>
        <cfvo type="num" val="78"/>
      </iconSet>
    </cfRule>
    <cfRule type="iconSet" priority="140">
      <iconSet showValue="0">
        <cfvo type="percent" val="0"/>
        <cfvo type="num" val="69"/>
        <cfvo type="num" val="78"/>
      </iconSet>
    </cfRule>
  </conditionalFormatting>
  <conditionalFormatting sqref="Z33">
    <cfRule type="iconSet" priority="68">
      <iconSet showValue="0">
        <cfvo type="percent" val="0"/>
        <cfvo type="num" val="50"/>
        <cfvo type="num" val="50"/>
      </iconSet>
    </cfRule>
  </conditionalFormatting>
  <conditionalFormatting sqref="AB13">
    <cfRule type="iconSet" priority="47">
      <iconSet showValue="0">
        <cfvo type="percent" val="0"/>
        <cfvo type="num" val="67"/>
        <cfvo type="num" val="75"/>
      </iconSet>
    </cfRule>
  </conditionalFormatting>
  <conditionalFormatting sqref="AB14">
    <cfRule type="iconSet" priority="177">
      <iconSet showValue="0">
        <cfvo type="percent" val="0"/>
        <cfvo type="num" val="67"/>
        <cfvo type="num" val="75"/>
      </iconSet>
    </cfRule>
  </conditionalFormatting>
  <conditionalFormatting sqref="AB16">
    <cfRule type="iconSet" priority="113">
      <iconSet showValue="0">
        <cfvo type="percent" val="0"/>
        <cfvo type="num" val="50"/>
        <cfvo type="num" val="50"/>
      </iconSet>
    </cfRule>
  </conditionalFormatting>
  <conditionalFormatting sqref="AB18">
    <cfRule type="iconSet" priority="6">
      <iconSet showValue="0">
        <cfvo type="percent" val="0"/>
        <cfvo type="num" val="70"/>
        <cfvo type="num" val="75"/>
      </iconSet>
    </cfRule>
  </conditionalFormatting>
  <conditionalFormatting sqref="AB21">
    <cfRule type="iconSet" priority="297">
      <iconSet showValue="0">
        <cfvo type="percent" val="0"/>
        <cfvo type="num" val="70"/>
        <cfvo type="num" val="75"/>
      </iconSet>
    </cfRule>
  </conditionalFormatting>
  <conditionalFormatting sqref="AB22:AB23">
    <cfRule type="iconSet" priority="292">
      <iconSet showValue="0">
        <cfvo type="percent" val="0"/>
        <cfvo type="num" val="50"/>
        <cfvo type="num" val="50"/>
      </iconSet>
    </cfRule>
  </conditionalFormatting>
  <conditionalFormatting sqref="AB24">
    <cfRule type="iconSet" priority="29">
      <iconSet showValue="0">
        <cfvo type="percent" val="0"/>
        <cfvo type="num" val="69"/>
        <cfvo type="num" val="78"/>
      </iconSet>
    </cfRule>
    <cfRule type="iconSet" priority="28">
      <iconSet showValue="0">
        <cfvo type="percent" val="0"/>
        <cfvo type="num" val="69"/>
        <cfvo type="num" val="78"/>
      </iconSet>
    </cfRule>
  </conditionalFormatting>
  <conditionalFormatting sqref="AB26">
    <cfRule type="iconSet" priority="400">
      <iconSet showValue="0">
        <cfvo type="percent" val="0"/>
        <cfvo type="num" val="50"/>
        <cfvo type="num" val="50"/>
      </iconSet>
    </cfRule>
  </conditionalFormatting>
  <conditionalFormatting sqref="AB27">
    <cfRule type="iconSet" priority="239">
      <iconSet showValue="0">
        <cfvo type="percent" val="0"/>
        <cfvo type="num" val="50"/>
        <cfvo type="num" val="50"/>
      </iconSet>
    </cfRule>
  </conditionalFormatting>
  <conditionalFormatting sqref="AB28">
    <cfRule type="iconSet" priority="220">
      <iconSet showValue="0">
        <cfvo type="percent" val="0"/>
        <cfvo type="num" val="69"/>
        <cfvo type="num" val="78"/>
      </iconSet>
    </cfRule>
    <cfRule type="iconSet" priority="219">
      <iconSet showValue="0">
        <cfvo type="percent" val="0"/>
        <cfvo type="num" val="69"/>
        <cfvo type="num" val="78"/>
      </iconSet>
    </cfRule>
  </conditionalFormatting>
  <conditionalFormatting sqref="AB29">
    <cfRule type="iconSet" priority="208">
      <iconSet showValue="0">
        <cfvo type="percent" val="0"/>
        <cfvo type="num" val="70"/>
        <cfvo type="num" val="75"/>
      </iconSet>
    </cfRule>
  </conditionalFormatting>
  <conditionalFormatting sqref="AB30">
    <cfRule type="iconSet" priority="88">
      <iconSet showValue="0">
        <cfvo type="percent" val="0"/>
        <cfvo type="num" val="69"/>
        <cfvo type="num" val="78"/>
      </iconSet>
    </cfRule>
    <cfRule type="iconSet" priority="87">
      <iconSet showValue="0">
        <cfvo type="percent" val="0"/>
        <cfvo type="num" val="69"/>
        <cfvo type="num" val="78"/>
      </iconSet>
    </cfRule>
  </conditionalFormatting>
  <conditionalFormatting sqref="AB32">
    <cfRule type="iconSet" priority="142">
      <iconSet showValue="0">
        <cfvo type="percent" val="0"/>
        <cfvo type="num" val="69"/>
        <cfvo type="num" val="78"/>
      </iconSet>
    </cfRule>
    <cfRule type="iconSet" priority="143">
      <iconSet showValue="0">
        <cfvo type="percent" val="0"/>
        <cfvo type="num" val="69"/>
        <cfvo type="num" val="78"/>
      </iconSet>
    </cfRule>
  </conditionalFormatting>
  <conditionalFormatting sqref="AD12">
    <cfRule type="iconSet" priority="63">
      <iconSet showValue="0">
        <cfvo type="percent" val="0"/>
        <cfvo type="num" val="50"/>
        <cfvo type="num" val="50"/>
      </iconSet>
    </cfRule>
  </conditionalFormatting>
  <conditionalFormatting sqref="AD13">
    <cfRule type="iconSet" priority="46">
      <iconSet showValue="0">
        <cfvo type="percent" val="0"/>
        <cfvo type="num" val="67"/>
        <cfvo type="num" val="75"/>
      </iconSet>
    </cfRule>
  </conditionalFormatting>
  <conditionalFormatting sqref="AD14">
    <cfRule type="iconSet" priority="174">
      <iconSet showValue="0">
        <cfvo type="percent" val="0"/>
        <cfvo type="num" val="67"/>
        <cfvo type="num" val="75"/>
      </iconSet>
    </cfRule>
  </conditionalFormatting>
  <conditionalFormatting sqref="AD16">
    <cfRule type="iconSet" priority="72">
      <iconSet showValue="0">
        <cfvo type="percent" val="0"/>
        <cfvo type="num" val="70"/>
        <cfvo type="num" val="75"/>
      </iconSet>
    </cfRule>
  </conditionalFormatting>
  <conditionalFormatting sqref="AD21">
    <cfRule type="iconSet" priority="41">
      <iconSet showValue="0">
        <cfvo type="percent" val="0"/>
        <cfvo type="num" val="50"/>
        <cfvo type="num" val="50"/>
      </iconSet>
    </cfRule>
  </conditionalFormatting>
  <conditionalFormatting sqref="AD22:AD23">
    <cfRule type="iconSet" priority="367">
      <iconSet showValue="0">
        <cfvo type="percent" val="0"/>
        <cfvo type="num" val="69"/>
        <cfvo type="num" val="78"/>
      </iconSet>
    </cfRule>
    <cfRule type="iconSet" priority="366">
      <iconSet showValue="0">
        <cfvo type="percent" val="0"/>
        <cfvo type="num" val="69"/>
        <cfvo type="num" val="78"/>
      </iconSet>
    </cfRule>
  </conditionalFormatting>
  <conditionalFormatting sqref="AD24">
    <cfRule type="iconSet" priority="372">
      <iconSet showValue="0">
        <cfvo type="percent" val="0"/>
        <cfvo type="num" val="50"/>
        <cfvo type="num" val="50"/>
      </iconSet>
    </cfRule>
  </conditionalFormatting>
  <conditionalFormatting sqref="AD26 X26">
    <cfRule type="iconSet" priority="2092">
      <iconSet>
        <cfvo type="percent" val="0"/>
        <cfvo type="percent" val="33"/>
        <cfvo type="percent" val="67"/>
      </iconSet>
    </cfRule>
    <cfRule type="iconSet" priority="2091">
      <iconSet showValue="0">
        <cfvo type="percent" val="0"/>
        <cfvo type="num" val="100"/>
        <cfvo type="num" val="100"/>
      </iconSet>
    </cfRule>
  </conditionalFormatting>
  <conditionalFormatting sqref="AD27 J27">
    <cfRule type="iconSet" priority="1715">
      <iconSet showValue="0">
        <cfvo type="percent" val="0"/>
        <cfvo type="num" val="100"/>
        <cfvo type="num" val="100"/>
      </iconSet>
    </cfRule>
    <cfRule type="iconSet" priority="1716">
      <iconSet>
        <cfvo type="percent" val="0"/>
        <cfvo type="percent" val="33"/>
        <cfvo type="percent" val="67"/>
      </iconSet>
    </cfRule>
  </conditionalFormatting>
  <conditionalFormatting sqref="AD28:AD29">
    <cfRule type="iconSet" priority="218">
      <iconSet showValue="0">
        <cfvo type="percent" val="0"/>
        <cfvo type="num" val="69"/>
        <cfvo type="num" val="78"/>
      </iconSet>
    </cfRule>
    <cfRule type="iconSet" priority="217">
      <iconSet showValue="0">
        <cfvo type="percent" val="0"/>
        <cfvo type="num" val="69"/>
        <cfvo type="num" val="78"/>
      </iconSet>
    </cfRule>
  </conditionalFormatting>
  <conditionalFormatting sqref="AD30">
    <cfRule type="iconSet" priority="84">
      <iconSet showValue="0">
        <cfvo type="percent" val="0"/>
        <cfvo type="num" val="69"/>
        <cfvo type="num" val="78"/>
      </iconSet>
    </cfRule>
    <cfRule type="iconSet" priority="85">
      <iconSet showValue="0">
        <cfvo type="percent" val="0"/>
        <cfvo type="num" val="69"/>
        <cfvo type="num" val="78"/>
      </iconSet>
    </cfRule>
  </conditionalFormatting>
  <conditionalFormatting sqref="AD32">
    <cfRule type="iconSet" priority="147">
      <iconSet showValue="0">
        <cfvo type="percent" val="0"/>
        <cfvo type="num" val="50"/>
        <cfvo type="num" val="50"/>
      </iconSet>
    </cfRule>
  </conditionalFormatting>
  <conditionalFormatting sqref="AF13">
    <cfRule type="iconSet" priority="45">
      <iconSet showValue="0">
        <cfvo type="percent" val="0"/>
        <cfvo type="num" val="67"/>
        <cfvo type="num" val="75"/>
      </iconSet>
    </cfRule>
  </conditionalFormatting>
  <conditionalFormatting sqref="AF14">
    <cfRule type="iconSet" priority="171">
      <iconSet showValue="0">
        <cfvo type="percent" val="0"/>
        <cfvo type="num" val="67"/>
        <cfvo type="num" val="75"/>
      </iconSet>
    </cfRule>
  </conditionalFormatting>
  <conditionalFormatting sqref="AF16">
    <cfRule type="iconSet" priority="111">
      <iconSet showValue="0">
        <cfvo type="percent" val="0"/>
        <cfvo type="num" val="50"/>
        <cfvo type="num" val="50"/>
      </iconSet>
    </cfRule>
  </conditionalFormatting>
  <conditionalFormatting sqref="AF18">
    <cfRule type="iconSet" priority="9">
      <iconSet showValue="0">
        <cfvo type="percent" val="0"/>
        <cfvo type="num" val="69"/>
        <cfvo type="num" val="78"/>
      </iconSet>
    </cfRule>
    <cfRule type="iconSet" priority="10">
      <iconSet showValue="0">
        <cfvo type="percent" val="0"/>
        <cfvo type="num" val="69"/>
        <cfvo type="num" val="78"/>
      </iconSet>
    </cfRule>
  </conditionalFormatting>
  <conditionalFormatting sqref="AF21">
    <cfRule type="iconSet" priority="291">
      <iconSet showValue="0">
        <cfvo type="percent" val="0"/>
        <cfvo type="num" val="70"/>
        <cfvo type="num" val="75"/>
      </iconSet>
    </cfRule>
  </conditionalFormatting>
  <conditionalFormatting sqref="AF22:AF24">
    <cfRule type="iconSet" priority="284">
      <iconSet showValue="0">
        <cfvo type="percent" val="0"/>
        <cfvo type="num" val="69"/>
        <cfvo type="num" val="78"/>
      </iconSet>
    </cfRule>
    <cfRule type="iconSet" priority="283">
      <iconSet showValue="0">
        <cfvo type="percent" val="0"/>
        <cfvo type="num" val="69"/>
        <cfvo type="num" val="78"/>
      </iconSet>
    </cfRule>
  </conditionalFormatting>
  <conditionalFormatting sqref="AF26:AF27">
    <cfRule type="iconSet" priority="398">
      <iconSet showValue="0">
        <cfvo type="percent" val="0"/>
        <cfvo type="num" val="69"/>
        <cfvo type="num" val="78"/>
      </iconSet>
    </cfRule>
    <cfRule type="iconSet" priority="399">
      <iconSet showValue="0">
        <cfvo type="percent" val="0"/>
        <cfvo type="num" val="69"/>
        <cfvo type="num" val="78"/>
      </iconSet>
    </cfRule>
  </conditionalFormatting>
  <conditionalFormatting sqref="AF28">
    <cfRule type="iconSet" priority="216">
      <iconSet showValue="0">
        <cfvo type="percent" val="0"/>
        <cfvo type="num" val="69"/>
        <cfvo type="num" val="78"/>
      </iconSet>
    </cfRule>
    <cfRule type="iconSet" priority="215">
      <iconSet showValue="0">
        <cfvo type="percent" val="0"/>
        <cfvo type="num" val="69"/>
        <cfvo type="num" val="78"/>
      </iconSet>
    </cfRule>
  </conditionalFormatting>
  <conditionalFormatting sqref="AF29">
    <cfRule type="iconSet" priority="107">
      <iconSet showValue="0">
        <cfvo type="percent" val="0"/>
        <cfvo type="num" val="70"/>
        <cfvo type="num" val="75"/>
      </iconSet>
    </cfRule>
  </conditionalFormatting>
  <conditionalFormatting sqref="AF30">
    <cfRule type="iconSet" priority="82">
      <iconSet showValue="0">
        <cfvo type="percent" val="0"/>
        <cfvo type="num" val="69"/>
        <cfvo type="num" val="78"/>
      </iconSet>
    </cfRule>
    <cfRule type="iconSet" priority="81">
      <iconSet showValue="0">
        <cfvo type="percent" val="0"/>
        <cfvo type="num" val="69"/>
        <cfvo type="num" val="78"/>
      </iconSet>
    </cfRule>
  </conditionalFormatting>
  <conditionalFormatting sqref="AF32">
    <cfRule type="iconSet" priority="146">
      <iconSet showValue="0">
        <cfvo type="percent" val="0"/>
        <cfvo type="num" val="50"/>
        <cfvo type="num" val="50"/>
      </iconSet>
    </cfRule>
  </conditionalFormatting>
  <conditionalFormatting sqref="AH12 AF12 AB12 Z12 X12">
    <cfRule type="iconSet" priority="1657">
      <iconSet showValue="0">
        <cfvo type="percent" val="0"/>
        <cfvo type="num" val="69"/>
        <cfvo type="num" val="78"/>
      </iconSet>
    </cfRule>
    <cfRule type="iconSet" priority="1656">
      <iconSet showValue="0">
        <cfvo type="percent" val="0"/>
        <cfvo type="num" val="69"/>
        <cfvo type="num" val="78"/>
      </iconSet>
    </cfRule>
  </conditionalFormatting>
  <conditionalFormatting sqref="AH13">
    <cfRule type="iconSet" priority="44">
      <iconSet showValue="0">
        <cfvo type="percent" val="0"/>
        <cfvo type="num" val="67"/>
        <cfvo type="num" val="75"/>
      </iconSet>
    </cfRule>
  </conditionalFormatting>
  <conditionalFormatting sqref="AH14">
    <cfRule type="iconSet" priority="168">
      <iconSet showValue="0">
        <cfvo type="percent" val="0"/>
        <cfvo type="num" val="67"/>
        <cfvo type="num" val="75"/>
      </iconSet>
    </cfRule>
  </conditionalFormatting>
  <conditionalFormatting sqref="AH16">
    <cfRule type="iconSet" priority="110">
      <iconSet showValue="0">
        <cfvo type="percent" val="0"/>
        <cfvo type="num" val="50"/>
        <cfvo type="num" val="50"/>
      </iconSet>
    </cfRule>
  </conditionalFormatting>
  <conditionalFormatting sqref="AH17 X17 J17 N17 R17 T17 Z17 AB17 AD17 AF17 P17 H16:H17">
    <cfRule type="iconSet" priority="1627">
      <iconSet showValue="0">
        <cfvo type="percent" val="0"/>
        <cfvo type="num" val="50"/>
        <cfvo type="num" val="100"/>
      </iconSet>
    </cfRule>
  </conditionalFormatting>
  <conditionalFormatting sqref="AH18">
    <cfRule type="iconSet" priority="7">
      <iconSet showValue="0">
        <cfvo type="percent" val="0"/>
        <cfvo type="num" val="69"/>
        <cfvo type="num" val="78"/>
      </iconSet>
    </cfRule>
    <cfRule type="iconSet" priority="8">
      <iconSet showValue="0">
        <cfvo type="percent" val="0"/>
        <cfvo type="num" val="69"/>
        <cfvo type="num" val="78"/>
      </iconSet>
    </cfRule>
  </conditionalFormatting>
  <conditionalFormatting sqref="AH19 AF19 AD19 AB19">
    <cfRule type="iconSet" priority="1709">
      <iconSet showValue="0">
        <cfvo type="percent" val="0"/>
        <cfvo type="num" val="50"/>
        <cfvo type="num" val="100"/>
      </iconSet>
    </cfRule>
  </conditionalFormatting>
  <conditionalFormatting sqref="AH21">
    <cfRule type="iconSet" priority="26">
      <iconSet showValue="0">
        <cfvo type="percent" val="0"/>
        <cfvo type="num" val="70"/>
        <cfvo type="num" val="75"/>
      </iconSet>
    </cfRule>
  </conditionalFormatting>
  <conditionalFormatting sqref="AH22">
    <cfRule type="iconSet" priority="27">
      <iconSet showValue="0">
        <cfvo type="percent" val="0"/>
        <cfvo type="num" val="70"/>
        <cfvo type="num" val="75"/>
      </iconSet>
    </cfRule>
  </conditionalFormatting>
  <conditionalFormatting sqref="AH23">
    <cfRule type="iconSet" priority="275">
      <iconSet showValue="0">
        <cfvo type="percent" val="0"/>
        <cfvo type="num" val="69"/>
        <cfvo type="num" val="78"/>
      </iconSet>
    </cfRule>
    <cfRule type="iconSet" priority="274">
      <iconSet showValue="0">
        <cfvo type="percent" val="0"/>
        <cfvo type="num" val="69"/>
        <cfvo type="num" val="78"/>
      </iconSet>
    </cfRule>
  </conditionalFormatting>
  <conditionalFormatting sqref="AH24">
    <cfRule type="iconSet" priority="24">
      <iconSet showValue="0">
        <cfvo type="percent" val="0"/>
        <cfvo type="num" val="69"/>
        <cfvo type="num" val="78"/>
      </iconSet>
    </cfRule>
    <cfRule type="iconSet" priority="25">
      <iconSet showValue="0">
        <cfvo type="percent" val="0"/>
        <cfvo type="num" val="69"/>
        <cfvo type="num" val="78"/>
      </iconSet>
    </cfRule>
  </conditionalFormatting>
  <conditionalFormatting sqref="AH26">
    <cfRule type="iconSet" priority="396">
      <iconSet showValue="0">
        <cfvo type="percent" val="0"/>
        <cfvo type="num" val="69"/>
        <cfvo type="num" val="78"/>
      </iconSet>
    </cfRule>
    <cfRule type="iconSet" priority="397">
      <iconSet showValue="0">
        <cfvo type="percent" val="0"/>
        <cfvo type="num" val="69"/>
        <cfvo type="num" val="78"/>
      </iconSet>
    </cfRule>
  </conditionalFormatting>
  <conditionalFormatting sqref="AH27">
    <cfRule type="iconSet" priority="237">
      <iconSet showValue="0">
        <cfvo type="percent" val="0"/>
        <cfvo type="num" val="69"/>
        <cfvo type="num" val="78"/>
      </iconSet>
    </cfRule>
    <cfRule type="iconSet" priority="238">
      <iconSet showValue="0">
        <cfvo type="percent" val="0"/>
        <cfvo type="num" val="69"/>
        <cfvo type="num" val="78"/>
      </iconSet>
    </cfRule>
  </conditionalFormatting>
  <conditionalFormatting sqref="AH28">
    <cfRule type="iconSet" priority="213">
      <iconSet showValue="0">
        <cfvo type="percent" val="0"/>
        <cfvo type="num" val="69"/>
        <cfvo type="num" val="78"/>
      </iconSet>
    </cfRule>
    <cfRule type="iconSet" priority="214">
      <iconSet showValue="0">
        <cfvo type="percent" val="0"/>
        <cfvo type="num" val="69"/>
        <cfvo type="num" val="78"/>
      </iconSet>
    </cfRule>
  </conditionalFormatting>
  <conditionalFormatting sqref="AH29">
    <cfRule type="iconSet" priority="76">
      <iconSet showValue="0">
        <cfvo type="percent" val="0"/>
        <cfvo type="num" val="50"/>
        <cfvo type="num" val="50"/>
      </iconSet>
    </cfRule>
  </conditionalFormatting>
  <conditionalFormatting sqref="AH30">
    <cfRule type="iconSet" priority="79">
      <iconSet showValue="0">
        <cfvo type="percent" val="0"/>
        <cfvo type="num" val="69"/>
        <cfvo type="num" val="78"/>
      </iconSet>
    </cfRule>
    <cfRule type="iconSet" priority="78">
      <iconSet showValue="0">
        <cfvo type="percent" val="0"/>
        <cfvo type="num" val="69"/>
        <cfvo type="num" val="78"/>
      </iconSet>
    </cfRule>
  </conditionalFormatting>
  <conditionalFormatting sqref="AH32">
    <cfRule type="iconSet" priority="144">
      <iconSet showValue="0">
        <cfvo type="percent" val="0"/>
        <cfvo type="num" val="69"/>
        <cfvo type="num" val="78"/>
      </iconSet>
    </cfRule>
    <cfRule type="iconSet" priority="145">
      <iconSet showValue="0">
        <cfvo type="percent" val="0"/>
        <cfvo type="num" val="69"/>
        <cfvo type="num" val="78"/>
      </iconSet>
    </cfRule>
  </conditionalFormatting>
  <conditionalFormatting sqref="AH33 AF33 AD33 AB33 X33 V33">
    <cfRule type="iconSet" priority="1758">
      <iconSet showValue="0">
        <cfvo type="percent" val="0"/>
        <cfvo type="num" val="100"/>
        <cfvo type="num" val="100"/>
      </iconSet>
    </cfRule>
    <cfRule type="iconSet" priority="1759">
      <iconSet>
        <cfvo type="percent" val="0"/>
        <cfvo type="percent" val="33"/>
        <cfvo type="percent" val="67"/>
      </iconSet>
    </cfRule>
  </conditionalFormatting>
  <conditionalFormatting sqref="AH35:AH36 V35 H35 J35 L35 N35 P35 R35 T35 X35:X36 Z35:Z36 AB35:AB36 AD35:AD36 AF35:AF36">
    <cfRule type="iconSet" priority="1641">
      <iconSet showValue="0">
        <cfvo type="percent" val="0"/>
        <cfvo type="num" val="50"/>
        <cfvo type="num" val="100"/>
      </iconSet>
    </cfRule>
  </conditionalFormatting>
  <conditionalFormatting sqref="AI9">
    <cfRule type="iconSet" priority="450">
      <iconSet showValue="0">
        <cfvo type="percent" val="0"/>
        <cfvo type="num" val="50"/>
        <cfvo type="num" val="100"/>
      </iconSet>
    </cfRule>
  </conditionalFormatting>
  <conditionalFormatting sqref="AI10">
    <cfRule type="iconSet" priority="449">
      <iconSet showValue="0">
        <cfvo type="percent" val="0"/>
        <cfvo type="num" val="70"/>
        <cfvo type="num" val="75"/>
      </iconSet>
    </cfRule>
  </conditionalFormatting>
  <conditionalFormatting sqref="AI11">
    <cfRule type="iconSet" priority="448">
      <iconSet showValue="0">
        <cfvo type="percent" val="0"/>
        <cfvo type="num" val="80"/>
        <cfvo type="num" val="85"/>
      </iconSet>
    </cfRule>
  </conditionalFormatting>
  <pageMargins left="0.25" right="0.25" top="0.75" bottom="0.75" header="0.3" footer="0.3"/>
  <pageSetup paperSize="5" scale="63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BC20-36A8-489F-B6F4-D8B798092B25}">
  <sheetPr>
    <pageSetUpPr fitToPage="1"/>
  </sheetPr>
  <dimension ref="B1:AJ37"/>
  <sheetViews>
    <sheetView showGridLines="0" topLeftCell="A3" zoomScale="85" zoomScaleNormal="85" workbookViewId="0">
      <selection activeCell="R15" sqref="R15"/>
    </sheetView>
  </sheetViews>
  <sheetFormatPr defaultColWidth="14.3828125" defaultRowHeight="14" x14ac:dyDescent="0.3"/>
  <cols>
    <col min="1" max="1" width="2.61328125" customWidth="1"/>
    <col min="2" max="2" width="34.84375" customWidth="1"/>
    <col min="3" max="3" width="13.3828125" customWidth="1"/>
    <col min="4" max="4" width="10.61328125" customWidth="1"/>
    <col min="5" max="5" width="2.61328125" customWidth="1"/>
    <col min="6" max="6" width="4.84375" style="170" customWidth="1"/>
    <col min="7" max="7" width="8.61328125" customWidth="1"/>
    <col min="8" max="8" width="2.61328125" customWidth="1"/>
    <col min="9" max="9" width="8.61328125" customWidth="1"/>
    <col min="10" max="10" width="2.61328125" customWidth="1"/>
    <col min="11" max="11" width="8.61328125" customWidth="1"/>
    <col min="12" max="12" width="2.61328125" customWidth="1"/>
    <col min="13" max="13" width="8.61328125" customWidth="1"/>
    <col min="14" max="14" width="2.61328125" customWidth="1"/>
    <col min="15" max="15" width="8.61328125" customWidth="1"/>
    <col min="16" max="16" width="2.61328125" customWidth="1"/>
    <col min="17" max="17" width="8.61328125" customWidth="1"/>
    <col min="18" max="18" width="2.61328125" customWidth="1"/>
    <col min="19" max="19" width="9.765625" customWidth="1"/>
    <col min="20" max="20" width="2.61328125" customWidth="1"/>
    <col min="21" max="21" width="8.15234375" customWidth="1"/>
    <col min="22" max="22" width="2.61328125" customWidth="1"/>
    <col min="23" max="23" width="8.61328125" customWidth="1"/>
    <col min="24" max="24" width="2.61328125" customWidth="1"/>
    <col min="25" max="25" width="7.84375" customWidth="1"/>
    <col min="26" max="26" width="2.61328125" customWidth="1"/>
    <col min="27" max="27" width="8.61328125" customWidth="1"/>
    <col min="28" max="28" width="2.61328125" customWidth="1"/>
    <col min="29" max="29" width="0" hidden="1" customWidth="1"/>
    <col min="31" max="32" width="5.61328125" customWidth="1"/>
    <col min="33" max="33" width="6.61328125" customWidth="1"/>
    <col min="35" max="38" width="0" hidden="1" customWidth="1"/>
  </cols>
  <sheetData>
    <row r="1" spans="2:36" ht="40.5" customHeight="1" x14ac:dyDescent="0.3">
      <c r="B1" s="236" t="s">
        <v>8</v>
      </c>
      <c r="C1" s="236"/>
      <c r="D1" s="236"/>
    </row>
    <row r="2" spans="2:36" ht="17.5" x14ac:dyDescent="0.3">
      <c r="B2" s="233" t="s">
        <v>1</v>
      </c>
      <c r="C2" s="233"/>
    </row>
    <row r="3" spans="2:36" ht="17.5" x14ac:dyDescent="0.35">
      <c r="B3" s="149"/>
      <c r="C3" s="149"/>
    </row>
    <row r="4" spans="2:36" ht="15.75" customHeight="1" x14ac:dyDescent="0.3">
      <c r="B4" s="39"/>
      <c r="C4" s="39"/>
      <c r="D4" s="39"/>
      <c r="E4" s="39"/>
      <c r="F4" s="39"/>
      <c r="G4" s="481" t="s">
        <v>243</v>
      </c>
      <c r="H4" s="481"/>
      <c r="I4" s="481"/>
      <c r="J4" s="481"/>
      <c r="K4" s="481"/>
      <c r="L4" s="481"/>
      <c r="M4" s="481"/>
      <c r="N4" s="481"/>
      <c r="O4" s="481"/>
      <c r="P4" s="481"/>
      <c r="Q4" s="480" t="s">
        <v>244</v>
      </c>
      <c r="R4" s="480"/>
      <c r="S4" s="480"/>
      <c r="T4" s="480"/>
      <c r="U4" s="480"/>
      <c r="V4" s="480"/>
      <c r="W4" s="480"/>
      <c r="X4" s="480"/>
      <c r="Y4" s="480"/>
      <c r="Z4" s="480"/>
      <c r="AA4" s="480"/>
      <c r="AB4" s="36"/>
    </row>
    <row r="5" spans="2:36" s="37" customFormat="1" ht="17.25" customHeight="1" x14ac:dyDescent="0.25">
      <c r="B5" s="12" t="s">
        <v>2</v>
      </c>
      <c r="C5" s="12" t="s">
        <v>85</v>
      </c>
      <c r="D5" s="44" t="s">
        <v>86</v>
      </c>
      <c r="E5" s="475" t="s">
        <v>87</v>
      </c>
      <c r="F5" s="475"/>
      <c r="G5" s="477" t="s">
        <v>245</v>
      </c>
      <c r="H5" s="477"/>
      <c r="I5" s="476" t="s">
        <v>246</v>
      </c>
      <c r="J5" s="476"/>
      <c r="K5" s="476" t="s">
        <v>247</v>
      </c>
      <c r="L5" s="476"/>
      <c r="M5" s="476" t="s">
        <v>248</v>
      </c>
      <c r="N5" s="476"/>
      <c r="O5" s="476" t="s">
        <v>249</v>
      </c>
      <c r="P5" s="476"/>
      <c r="Q5" s="476" t="s">
        <v>250</v>
      </c>
      <c r="R5" s="476"/>
      <c r="S5" s="476" t="s">
        <v>251</v>
      </c>
      <c r="T5" s="476"/>
      <c r="U5" s="476" t="s">
        <v>252</v>
      </c>
      <c r="V5" s="476"/>
      <c r="W5" s="476" t="s">
        <v>253</v>
      </c>
      <c r="X5" s="476"/>
      <c r="Y5" s="476" t="s">
        <v>254</v>
      </c>
      <c r="Z5" s="476"/>
      <c r="AA5" s="476" t="s">
        <v>255</v>
      </c>
      <c r="AB5" s="476"/>
    </row>
    <row r="6" spans="2:36" ht="11.25" customHeight="1" x14ac:dyDescent="0.3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 spans="2:36" ht="20.25" customHeight="1" x14ac:dyDescent="0.3">
      <c r="B7" s="82" t="s">
        <v>10</v>
      </c>
      <c r="C7" s="82"/>
      <c r="D7" s="139" t="s">
        <v>11</v>
      </c>
      <c r="E7" s="140"/>
      <c r="F7" s="345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1"/>
      <c r="U7" s="141"/>
      <c r="V7" s="141"/>
      <c r="W7" s="142"/>
      <c r="X7" s="142"/>
      <c r="Y7" s="142"/>
      <c r="Z7" s="142"/>
      <c r="AA7" s="142"/>
      <c r="AB7" s="142"/>
      <c r="AC7" s="16">
        <v>100</v>
      </c>
      <c r="AE7" s="46"/>
      <c r="AF7" s="47"/>
      <c r="AG7" s="47"/>
      <c r="AH7" s="47"/>
      <c r="AI7" s="46"/>
      <c r="AJ7" s="47"/>
    </row>
    <row r="8" spans="2:36" ht="20.25" customHeight="1" x14ac:dyDescent="0.3">
      <c r="B8" s="103" t="s">
        <v>12</v>
      </c>
      <c r="C8" s="103"/>
      <c r="D8" s="96"/>
      <c r="E8" s="96"/>
      <c r="F8" s="34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4"/>
      <c r="U8" s="94"/>
      <c r="V8" s="94"/>
      <c r="W8" s="97"/>
      <c r="X8" s="97"/>
      <c r="Y8" s="97"/>
      <c r="Z8" s="97"/>
      <c r="AA8" s="97"/>
      <c r="AB8" s="97"/>
      <c r="AC8" s="135">
        <v>73</v>
      </c>
      <c r="AE8" s="46"/>
      <c r="AF8" s="47"/>
      <c r="AG8" s="47"/>
      <c r="AH8" s="47"/>
      <c r="AI8" s="46"/>
      <c r="AJ8" s="47"/>
    </row>
    <row r="9" spans="2:36" ht="20.25" customHeight="1" x14ac:dyDescent="0.3">
      <c r="B9" s="103" t="s">
        <v>13</v>
      </c>
      <c r="C9" s="103"/>
      <c r="D9" s="96"/>
      <c r="E9" s="96"/>
      <c r="F9" s="34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4"/>
      <c r="U9" s="94"/>
      <c r="V9" s="94"/>
      <c r="W9" s="97"/>
      <c r="X9" s="97"/>
      <c r="Y9" s="97"/>
      <c r="Z9" s="97"/>
      <c r="AA9" s="97"/>
      <c r="AB9" s="97"/>
      <c r="AC9" s="134">
        <v>0.54</v>
      </c>
      <c r="AE9" s="46"/>
      <c r="AF9" s="47"/>
      <c r="AG9" s="47"/>
      <c r="AH9" s="47"/>
      <c r="AI9" s="46"/>
      <c r="AJ9" s="47"/>
    </row>
    <row r="10" spans="2:36" ht="20.25" customHeight="1" x14ac:dyDescent="0.3">
      <c r="B10" s="56" t="s">
        <v>14</v>
      </c>
      <c r="C10" s="56"/>
      <c r="D10" s="444" t="s">
        <v>15</v>
      </c>
      <c r="E10" s="444"/>
      <c r="F10" s="444"/>
      <c r="G10" s="444"/>
      <c r="H10" s="444"/>
      <c r="I10" s="444"/>
      <c r="J10" s="444"/>
      <c r="K10" s="444"/>
      <c r="L10" s="444"/>
      <c r="M10" s="444"/>
      <c r="N10" s="444"/>
      <c r="O10" s="444"/>
      <c r="P10" s="444"/>
      <c r="Q10" s="444"/>
      <c r="R10" s="444"/>
      <c r="S10" s="444"/>
      <c r="T10" s="444"/>
      <c r="U10" s="444"/>
      <c r="V10" s="444"/>
      <c r="W10" s="444"/>
      <c r="X10" s="444"/>
      <c r="Y10" s="444"/>
      <c r="Z10" s="444"/>
      <c r="AA10" s="444"/>
      <c r="AB10" s="444"/>
      <c r="AC10" s="79"/>
      <c r="AE10" s="79"/>
      <c r="AF10" s="79"/>
      <c r="AG10" s="79"/>
      <c r="AH10" s="79"/>
      <c r="AI10" s="79"/>
      <c r="AJ10" s="79"/>
    </row>
    <row r="11" spans="2:36" ht="20.25" customHeight="1" x14ac:dyDescent="0.3">
      <c r="B11" s="13" t="s">
        <v>16</v>
      </c>
      <c r="C11" s="358" t="s">
        <v>97</v>
      </c>
      <c r="D11" s="336">
        <v>0.72099999999999997</v>
      </c>
      <c r="E11" s="14">
        <v>73</v>
      </c>
      <c r="F11" s="114"/>
      <c r="G11" s="268">
        <v>0.77</v>
      </c>
      <c r="H11" s="180">
        <v>100</v>
      </c>
      <c r="I11" s="270">
        <v>0.71</v>
      </c>
      <c r="J11" s="180">
        <v>73</v>
      </c>
      <c r="K11" s="270">
        <v>0.79</v>
      </c>
      <c r="L11" s="135">
        <v>100</v>
      </c>
      <c r="M11" s="270">
        <v>0.61</v>
      </c>
      <c r="N11" s="180">
        <v>30</v>
      </c>
      <c r="O11" s="270">
        <v>0.67</v>
      </c>
      <c r="P11" s="180">
        <v>30</v>
      </c>
      <c r="Q11" s="270">
        <v>0.74</v>
      </c>
      <c r="R11" s="180">
        <v>100</v>
      </c>
      <c r="S11" s="270">
        <v>0.83</v>
      </c>
      <c r="T11" s="178">
        <v>100</v>
      </c>
      <c r="U11" s="271">
        <v>0.73</v>
      </c>
      <c r="V11" s="180">
        <v>100</v>
      </c>
      <c r="W11" s="272">
        <v>1</v>
      </c>
      <c r="X11" s="183">
        <v>100</v>
      </c>
      <c r="Y11" s="270">
        <v>0.67</v>
      </c>
      <c r="Z11" s="183">
        <v>50</v>
      </c>
      <c r="AA11" s="270">
        <v>0.81</v>
      </c>
      <c r="AB11" s="183">
        <v>100</v>
      </c>
      <c r="AC11" s="25"/>
      <c r="AD11" s="25"/>
      <c r="AE11" s="25"/>
      <c r="AF11" s="25"/>
      <c r="AG11" s="25"/>
      <c r="AH11" s="25"/>
      <c r="AI11" s="25"/>
      <c r="AJ11" s="23"/>
    </row>
    <row r="12" spans="2:36" ht="20.25" customHeight="1" x14ac:dyDescent="0.3">
      <c r="B12" s="360" t="s">
        <v>18</v>
      </c>
      <c r="C12" s="358" t="s">
        <v>33</v>
      </c>
      <c r="D12" s="23">
        <v>84.75</v>
      </c>
      <c r="E12" s="14">
        <v>100</v>
      </c>
      <c r="F12" s="114"/>
      <c r="G12" s="431">
        <v>85.5</v>
      </c>
      <c r="H12" s="180">
        <v>100</v>
      </c>
      <c r="I12" s="180">
        <v>82.25</v>
      </c>
      <c r="J12" s="180">
        <v>100</v>
      </c>
      <c r="K12" s="180">
        <v>80.75</v>
      </c>
      <c r="L12" s="135">
        <v>73</v>
      </c>
      <c r="M12" s="428">
        <v>84.5</v>
      </c>
      <c r="N12" s="180">
        <v>100</v>
      </c>
      <c r="O12" s="428">
        <v>84.5</v>
      </c>
      <c r="P12" s="180">
        <v>100</v>
      </c>
      <c r="Q12" s="180">
        <v>85.75</v>
      </c>
      <c r="R12" s="180">
        <v>100</v>
      </c>
      <c r="S12" s="180">
        <v>86.25</v>
      </c>
      <c r="T12" s="178">
        <v>100</v>
      </c>
      <c r="U12" s="224">
        <v>89.75</v>
      </c>
      <c r="V12" s="180">
        <v>100</v>
      </c>
      <c r="W12" s="430">
        <v>84.5</v>
      </c>
      <c r="X12" s="183">
        <v>100</v>
      </c>
      <c r="Y12" s="183">
        <v>84.75</v>
      </c>
      <c r="Z12" s="183">
        <v>100</v>
      </c>
      <c r="AA12" s="219">
        <v>85</v>
      </c>
      <c r="AB12" s="183">
        <v>100</v>
      </c>
      <c r="AC12" s="23"/>
      <c r="AD12" s="23"/>
      <c r="AE12" s="23"/>
      <c r="AF12" s="23"/>
      <c r="AG12" s="23"/>
      <c r="AH12" s="23"/>
      <c r="AI12" s="23"/>
      <c r="AJ12" s="23"/>
    </row>
    <row r="13" spans="2:36" ht="20.25" customHeight="1" x14ac:dyDescent="0.3">
      <c r="B13" s="360" t="s">
        <v>20</v>
      </c>
      <c r="C13" s="358" t="s">
        <v>98</v>
      </c>
      <c r="D13" s="23">
        <v>78</v>
      </c>
      <c r="E13" s="19">
        <v>73</v>
      </c>
      <c r="F13" s="115"/>
      <c r="G13" s="182">
        <v>77</v>
      </c>
      <c r="H13" s="135">
        <v>73</v>
      </c>
      <c r="I13" s="183">
        <v>74</v>
      </c>
      <c r="J13" s="183">
        <v>30</v>
      </c>
      <c r="K13" s="183">
        <v>74</v>
      </c>
      <c r="L13" s="183">
        <v>30</v>
      </c>
      <c r="M13" s="183">
        <v>76</v>
      </c>
      <c r="N13" s="183">
        <v>30</v>
      </c>
      <c r="O13" s="183">
        <v>75</v>
      </c>
      <c r="P13" s="183">
        <v>30</v>
      </c>
      <c r="Q13" s="183">
        <v>80</v>
      </c>
      <c r="R13" s="183">
        <v>100</v>
      </c>
      <c r="S13" s="183">
        <v>80</v>
      </c>
      <c r="T13" s="183">
        <v>100</v>
      </c>
      <c r="U13" s="216">
        <v>86</v>
      </c>
      <c r="V13" s="183">
        <v>100</v>
      </c>
      <c r="W13" s="217">
        <v>82</v>
      </c>
      <c r="X13" s="183">
        <v>100</v>
      </c>
      <c r="Y13" s="217">
        <v>77</v>
      </c>
      <c r="Z13" s="135">
        <v>73</v>
      </c>
      <c r="AA13" s="217">
        <v>80</v>
      </c>
      <c r="AB13" s="183">
        <v>100</v>
      </c>
      <c r="AC13" s="79"/>
      <c r="AD13" s="79"/>
      <c r="AE13" s="79"/>
      <c r="AF13" s="79"/>
      <c r="AG13" s="79"/>
      <c r="AH13" s="79"/>
      <c r="AI13" s="79"/>
      <c r="AJ13" s="79"/>
    </row>
    <row r="14" spans="2:36" ht="20.25" customHeight="1" x14ac:dyDescent="0.3">
      <c r="B14" s="59" t="s">
        <v>22</v>
      </c>
      <c r="C14" s="378"/>
      <c r="D14" s="58" t="s">
        <v>23</v>
      </c>
      <c r="E14" s="57"/>
      <c r="F14" s="172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74"/>
      <c r="X14" s="74"/>
      <c r="Y14" s="74"/>
      <c r="Z14" s="74"/>
      <c r="AA14" s="74"/>
      <c r="AB14" s="74"/>
      <c r="AC14" s="79"/>
      <c r="AD14" s="79"/>
      <c r="AE14" s="79"/>
      <c r="AF14" s="79"/>
      <c r="AG14" s="79"/>
      <c r="AH14" s="79"/>
      <c r="AI14" s="79"/>
      <c r="AJ14" s="79"/>
    </row>
    <row r="15" spans="2:36" ht="17.25" customHeight="1" x14ac:dyDescent="0.3">
      <c r="B15" s="360" t="s">
        <v>24</v>
      </c>
      <c r="C15" s="416">
        <v>3599</v>
      </c>
      <c r="D15" s="302" t="s">
        <v>30</v>
      </c>
      <c r="E15" s="14">
        <v>100</v>
      </c>
      <c r="F15" s="115"/>
      <c r="G15" s="204" t="s">
        <v>256</v>
      </c>
      <c r="H15" s="183">
        <v>30</v>
      </c>
      <c r="I15" s="205" t="s">
        <v>257</v>
      </c>
      <c r="J15" s="183">
        <v>30</v>
      </c>
      <c r="K15" s="205" t="s">
        <v>258</v>
      </c>
      <c r="L15" s="183">
        <v>30</v>
      </c>
      <c r="M15" s="205" t="s">
        <v>259</v>
      </c>
      <c r="N15" s="183">
        <v>30</v>
      </c>
      <c r="O15" s="205" t="s">
        <v>260</v>
      </c>
      <c r="P15" s="183">
        <v>30</v>
      </c>
      <c r="Q15" s="205" t="s">
        <v>261</v>
      </c>
      <c r="R15" s="183">
        <v>100</v>
      </c>
      <c r="S15" s="205" t="s">
        <v>262</v>
      </c>
      <c r="T15" s="183">
        <v>100</v>
      </c>
      <c r="U15" s="205" t="s">
        <v>263</v>
      </c>
      <c r="V15" s="183">
        <v>100</v>
      </c>
      <c r="W15" s="287" t="s">
        <v>264</v>
      </c>
      <c r="X15" s="183">
        <v>30</v>
      </c>
      <c r="Y15" s="225" t="s">
        <v>265</v>
      </c>
      <c r="Z15" s="183">
        <v>30</v>
      </c>
      <c r="AA15" s="205" t="s">
        <v>266</v>
      </c>
      <c r="AB15" s="183">
        <v>100</v>
      </c>
      <c r="AC15" s="27"/>
      <c r="AD15" s="27"/>
      <c r="AE15" s="27"/>
      <c r="AF15" s="27"/>
      <c r="AG15" s="27"/>
      <c r="AH15" s="27"/>
      <c r="AI15" s="27"/>
      <c r="AJ15" s="23"/>
    </row>
    <row r="16" spans="2:36" ht="20.25" customHeight="1" x14ac:dyDescent="0.3">
      <c r="B16" s="360" t="s">
        <v>32</v>
      </c>
      <c r="C16" s="306" t="s">
        <v>33</v>
      </c>
      <c r="D16" s="165">
        <v>79</v>
      </c>
      <c r="E16" s="19">
        <v>73</v>
      </c>
      <c r="F16" s="116"/>
      <c r="G16" s="182">
        <v>77</v>
      </c>
      <c r="H16" s="183">
        <v>30</v>
      </c>
      <c r="I16" s="183">
        <v>77</v>
      </c>
      <c r="J16" s="183">
        <v>30</v>
      </c>
      <c r="K16" s="183">
        <v>77</v>
      </c>
      <c r="L16" s="183">
        <v>30</v>
      </c>
      <c r="M16" s="183">
        <v>78</v>
      </c>
      <c r="N16" s="183">
        <v>30</v>
      </c>
      <c r="O16" s="183">
        <v>78</v>
      </c>
      <c r="P16" s="183">
        <v>30</v>
      </c>
      <c r="Q16" s="183">
        <v>82</v>
      </c>
      <c r="R16" s="183">
        <v>100</v>
      </c>
      <c r="S16" s="183">
        <v>82</v>
      </c>
      <c r="T16" s="183">
        <v>100</v>
      </c>
      <c r="U16" s="183">
        <v>88</v>
      </c>
      <c r="V16" s="183">
        <v>100</v>
      </c>
      <c r="W16" s="190">
        <v>84</v>
      </c>
      <c r="X16" s="183">
        <v>100</v>
      </c>
      <c r="Y16" s="219">
        <v>79</v>
      </c>
      <c r="Z16" s="19">
        <v>73</v>
      </c>
      <c r="AA16" s="219">
        <v>78</v>
      </c>
      <c r="AB16" s="183">
        <v>30</v>
      </c>
      <c r="AC16" s="27"/>
      <c r="AD16" s="27"/>
      <c r="AE16" s="27"/>
      <c r="AF16" s="27"/>
      <c r="AG16" s="27"/>
      <c r="AH16" s="27"/>
      <c r="AI16" s="27"/>
      <c r="AJ16" s="23"/>
    </row>
    <row r="17" spans="2:36" ht="20.25" customHeight="1" x14ac:dyDescent="0.3">
      <c r="B17" s="400" t="s">
        <v>34</v>
      </c>
      <c r="C17" s="358" t="s">
        <v>108</v>
      </c>
      <c r="D17" s="165" t="s">
        <v>40</v>
      </c>
      <c r="E17" s="361">
        <v>73</v>
      </c>
      <c r="F17" s="116"/>
      <c r="G17" s="23" t="s">
        <v>267</v>
      </c>
      <c r="H17" s="361">
        <v>73</v>
      </c>
      <c r="I17" s="23" t="s">
        <v>207</v>
      </c>
      <c r="J17" s="321">
        <v>100</v>
      </c>
      <c r="K17" s="23" t="s">
        <v>268</v>
      </c>
      <c r="L17" s="361">
        <v>73</v>
      </c>
      <c r="M17" s="23" t="s">
        <v>269</v>
      </c>
      <c r="N17" s="361">
        <v>73</v>
      </c>
      <c r="O17" s="23" t="s">
        <v>152</v>
      </c>
      <c r="P17" s="361">
        <v>73</v>
      </c>
      <c r="Q17" s="23" t="s">
        <v>270</v>
      </c>
      <c r="R17" s="361">
        <v>73</v>
      </c>
      <c r="S17" s="23" t="s">
        <v>271</v>
      </c>
      <c r="T17" s="361">
        <v>73</v>
      </c>
      <c r="U17" s="23" t="s">
        <v>272</v>
      </c>
      <c r="V17" s="321">
        <v>100</v>
      </c>
      <c r="W17" s="26" t="s">
        <v>113</v>
      </c>
      <c r="X17" s="186"/>
      <c r="Y17" s="26" t="s">
        <v>113</v>
      </c>
      <c r="Z17" s="186"/>
      <c r="AA17" s="23" t="s">
        <v>110</v>
      </c>
      <c r="AB17" s="321">
        <v>100</v>
      </c>
      <c r="AC17" s="27"/>
      <c r="AD17" s="27"/>
      <c r="AE17" s="27"/>
      <c r="AF17" s="27"/>
      <c r="AG17" s="27"/>
      <c r="AH17" s="27"/>
      <c r="AI17" s="27"/>
      <c r="AJ17" s="23"/>
    </row>
    <row r="18" spans="2:36" ht="17.25" customHeight="1" x14ac:dyDescent="0.3">
      <c r="B18" s="13" t="s">
        <v>42</v>
      </c>
      <c r="C18" s="384" t="s">
        <v>273</v>
      </c>
      <c r="D18" s="168">
        <v>0.20899999999999999</v>
      </c>
      <c r="E18" s="23">
        <v>30</v>
      </c>
      <c r="F18" s="117"/>
      <c r="G18" s="185">
        <v>0.18</v>
      </c>
      <c r="H18" s="183">
        <v>100</v>
      </c>
      <c r="I18" s="186">
        <v>0.2</v>
      </c>
      <c r="J18" s="183">
        <v>30</v>
      </c>
      <c r="K18" s="177">
        <v>0.223</v>
      </c>
      <c r="L18" s="183">
        <v>30</v>
      </c>
      <c r="M18" s="186">
        <v>0.22700000000000001</v>
      </c>
      <c r="N18" s="183">
        <v>30</v>
      </c>
      <c r="O18" s="186">
        <v>0.22</v>
      </c>
      <c r="P18" s="183">
        <v>30</v>
      </c>
      <c r="Q18" s="177">
        <v>0.17899999999999999</v>
      </c>
      <c r="R18" s="183">
        <v>30</v>
      </c>
      <c r="S18" s="186">
        <v>0.21299999999999999</v>
      </c>
      <c r="T18" s="183">
        <v>30</v>
      </c>
      <c r="U18" s="186">
        <v>0.193</v>
      </c>
      <c r="V18" s="183">
        <v>30</v>
      </c>
      <c r="W18" s="199">
        <v>0.111</v>
      </c>
      <c r="X18" s="180">
        <v>100</v>
      </c>
      <c r="Y18" s="186">
        <v>0.20399999999999999</v>
      </c>
      <c r="Z18" s="183">
        <v>30</v>
      </c>
      <c r="AA18" s="186">
        <v>0.20499999999999999</v>
      </c>
      <c r="AB18" s="183">
        <v>30</v>
      </c>
      <c r="AC18" s="27"/>
      <c r="AD18" s="27"/>
      <c r="AE18" s="27"/>
      <c r="AF18" s="27"/>
      <c r="AG18" s="27"/>
      <c r="AH18" s="27"/>
      <c r="AI18" s="27"/>
      <c r="AJ18" s="23"/>
    </row>
    <row r="19" spans="2:36" ht="20.25" customHeight="1" x14ac:dyDescent="0.3">
      <c r="B19" s="353" t="s">
        <v>44</v>
      </c>
      <c r="C19" s="379"/>
      <c r="D19" s="352" t="s">
        <v>45</v>
      </c>
      <c r="E19" s="351"/>
      <c r="F19" s="349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0"/>
      <c r="X19" s="350"/>
      <c r="Y19" s="350"/>
      <c r="Z19" s="350"/>
      <c r="AA19" s="350"/>
      <c r="AB19" s="350"/>
      <c r="AC19" s="80"/>
      <c r="AD19" s="334"/>
      <c r="AE19" s="80"/>
      <c r="AF19" s="80"/>
      <c r="AG19" s="80"/>
      <c r="AH19" s="80"/>
      <c r="AI19" s="80"/>
      <c r="AJ19" s="80"/>
    </row>
    <row r="20" spans="2:36" ht="20.25" customHeight="1" x14ac:dyDescent="0.3">
      <c r="B20" s="72" t="s">
        <v>46</v>
      </c>
      <c r="C20" s="358" t="s">
        <v>274</v>
      </c>
      <c r="D20" s="306" t="s">
        <v>52</v>
      </c>
      <c r="E20" s="19">
        <v>73</v>
      </c>
      <c r="F20" s="105"/>
      <c r="G20" s="207" t="s">
        <v>275</v>
      </c>
      <c r="H20" s="188">
        <v>73</v>
      </c>
      <c r="I20" s="207" t="s">
        <v>275</v>
      </c>
      <c r="J20" s="188">
        <v>73</v>
      </c>
      <c r="K20" s="207" t="s">
        <v>275</v>
      </c>
      <c r="L20" s="188">
        <v>73</v>
      </c>
      <c r="M20" s="207" t="s">
        <v>275</v>
      </c>
      <c r="N20" s="188">
        <v>73</v>
      </c>
      <c r="O20" s="207" t="s">
        <v>275</v>
      </c>
      <c r="P20" s="188">
        <v>30</v>
      </c>
      <c r="Q20" s="208" t="s">
        <v>276</v>
      </c>
      <c r="R20" s="19">
        <v>73</v>
      </c>
      <c r="S20" s="421" t="s">
        <v>277</v>
      </c>
      <c r="T20" s="19">
        <v>73</v>
      </c>
      <c r="U20" s="208" t="s">
        <v>278</v>
      </c>
      <c r="V20" s="19">
        <v>73</v>
      </c>
      <c r="W20" s="208" t="s">
        <v>276</v>
      </c>
      <c r="X20" s="19">
        <v>73</v>
      </c>
      <c r="Y20" s="421" t="s">
        <v>277</v>
      </c>
      <c r="Z20" s="19">
        <v>73</v>
      </c>
      <c r="AA20" s="208" t="s">
        <v>276</v>
      </c>
      <c r="AB20" s="19">
        <v>73</v>
      </c>
      <c r="AC20" s="16"/>
      <c r="AD20" s="16"/>
      <c r="AE20" s="16"/>
      <c r="AF20" s="16"/>
      <c r="AG20" s="16"/>
      <c r="AH20" s="16"/>
      <c r="AI20" s="16"/>
      <c r="AJ20" s="23"/>
    </row>
    <row r="21" spans="2:36" ht="20.25" customHeight="1" x14ac:dyDescent="0.3">
      <c r="B21" s="72" t="s">
        <v>54</v>
      </c>
      <c r="C21" s="358" t="s">
        <v>108</v>
      </c>
      <c r="D21" s="306">
        <v>73</v>
      </c>
      <c r="E21" s="313">
        <v>73</v>
      </c>
      <c r="F21" s="147"/>
      <c r="G21" s="210">
        <v>78</v>
      </c>
      <c r="H21" s="14">
        <v>100</v>
      </c>
      <c r="I21" s="211">
        <v>76</v>
      </c>
      <c r="J21" s="19">
        <v>100</v>
      </c>
      <c r="K21" s="211">
        <v>73</v>
      </c>
      <c r="L21" s="313">
        <v>100</v>
      </c>
      <c r="M21" s="212">
        <v>72</v>
      </c>
      <c r="N21" s="356">
        <v>73</v>
      </c>
      <c r="O21" s="211">
        <v>54</v>
      </c>
      <c r="P21" s="14">
        <v>30</v>
      </c>
      <c r="Q21" s="211">
        <v>80</v>
      </c>
      <c r="R21" s="23">
        <v>100</v>
      </c>
      <c r="S21" s="212">
        <v>94</v>
      </c>
      <c r="T21" s="14">
        <v>100</v>
      </c>
      <c r="U21" s="211">
        <v>99</v>
      </c>
      <c r="V21" s="23">
        <v>100</v>
      </c>
      <c r="W21" s="212">
        <v>99</v>
      </c>
      <c r="X21" s="14">
        <v>100</v>
      </c>
      <c r="Y21" s="212">
        <v>74</v>
      </c>
      <c r="Z21" s="19">
        <v>73</v>
      </c>
      <c r="AA21" s="212">
        <v>75</v>
      </c>
      <c r="AB21" s="14">
        <v>100</v>
      </c>
      <c r="AC21" s="26"/>
      <c r="AD21" s="26"/>
      <c r="AE21" s="26"/>
      <c r="AF21" s="26"/>
      <c r="AG21" s="26"/>
      <c r="AH21" s="26"/>
      <c r="AI21" s="26"/>
      <c r="AJ21" s="23"/>
    </row>
    <row r="22" spans="2:36" ht="20.25" customHeight="1" x14ac:dyDescent="0.3">
      <c r="B22" s="72" t="s">
        <v>55</v>
      </c>
      <c r="C22" s="358" t="s">
        <v>108</v>
      </c>
      <c r="D22" s="306">
        <v>62</v>
      </c>
      <c r="E22" s="306">
        <v>30</v>
      </c>
      <c r="F22" s="147"/>
      <c r="G22" s="210">
        <v>88</v>
      </c>
      <c r="H22" s="14">
        <v>100</v>
      </c>
      <c r="I22" s="211">
        <v>73</v>
      </c>
      <c r="J22" s="19">
        <v>100</v>
      </c>
      <c r="K22" s="211">
        <v>66</v>
      </c>
      <c r="L22" s="356">
        <v>73</v>
      </c>
      <c r="M22" s="212">
        <v>91</v>
      </c>
      <c r="N22" s="14">
        <v>100</v>
      </c>
      <c r="O22" s="211">
        <v>57</v>
      </c>
      <c r="P22" s="14">
        <v>30</v>
      </c>
      <c r="Q22" s="211">
        <v>63</v>
      </c>
      <c r="R22" s="19">
        <v>30</v>
      </c>
      <c r="S22" s="212">
        <v>71</v>
      </c>
      <c r="T22" s="14">
        <v>73</v>
      </c>
      <c r="U22" s="211">
        <v>50</v>
      </c>
      <c r="V22" s="14">
        <v>30</v>
      </c>
      <c r="W22" s="212">
        <v>50</v>
      </c>
      <c r="X22" s="14">
        <v>30</v>
      </c>
      <c r="Y22" s="212">
        <v>73</v>
      </c>
      <c r="Z22" s="14">
        <v>73</v>
      </c>
      <c r="AA22" s="212">
        <v>76</v>
      </c>
      <c r="AB22" s="19">
        <v>100</v>
      </c>
      <c r="AC22" s="16"/>
      <c r="AD22" s="16"/>
      <c r="AE22" s="16"/>
      <c r="AF22" s="16"/>
      <c r="AG22" s="16"/>
      <c r="AH22" s="16"/>
      <c r="AI22" s="16"/>
      <c r="AJ22" s="23"/>
    </row>
    <row r="23" spans="2:36" ht="31.5" customHeight="1" x14ac:dyDescent="0.3">
      <c r="B23" s="13" t="s">
        <v>56</v>
      </c>
      <c r="C23" s="358" t="s">
        <v>108</v>
      </c>
      <c r="D23" s="306">
        <v>74</v>
      </c>
      <c r="E23" s="313">
        <v>73</v>
      </c>
      <c r="F23" s="147"/>
      <c r="G23" s="210">
        <v>83</v>
      </c>
      <c r="H23" s="14">
        <v>100</v>
      </c>
      <c r="I23" s="210">
        <v>83</v>
      </c>
      <c r="J23" s="14">
        <v>100</v>
      </c>
      <c r="K23" s="210">
        <v>83</v>
      </c>
      <c r="L23" s="14">
        <v>100</v>
      </c>
      <c r="M23" s="210">
        <v>83</v>
      </c>
      <c r="N23" s="14">
        <v>100</v>
      </c>
      <c r="O23" s="210">
        <v>83</v>
      </c>
      <c r="P23" s="14">
        <v>100</v>
      </c>
      <c r="Q23" s="211">
        <v>74</v>
      </c>
      <c r="R23" s="14">
        <v>73</v>
      </c>
      <c r="S23" s="212">
        <v>71</v>
      </c>
      <c r="T23" s="19">
        <v>73</v>
      </c>
      <c r="U23" s="211">
        <v>90</v>
      </c>
      <c r="V23" s="14">
        <v>100</v>
      </c>
      <c r="W23" s="211">
        <v>74</v>
      </c>
      <c r="X23" s="313">
        <v>73</v>
      </c>
      <c r="Y23" s="212">
        <v>71</v>
      </c>
      <c r="Z23" s="19">
        <v>73</v>
      </c>
      <c r="AA23" s="211">
        <v>74</v>
      </c>
      <c r="AB23" s="14">
        <v>73</v>
      </c>
      <c r="AC23" s="16"/>
      <c r="AD23" s="16"/>
      <c r="AE23" s="16"/>
      <c r="AF23" s="16"/>
      <c r="AG23" s="16"/>
      <c r="AH23" s="16"/>
      <c r="AI23" s="16"/>
      <c r="AJ23" s="23"/>
    </row>
    <row r="24" spans="2:36" ht="20.25" customHeight="1" x14ac:dyDescent="0.3">
      <c r="B24" s="68" t="s">
        <v>57</v>
      </c>
      <c r="C24" s="380"/>
      <c r="D24" s="67" t="s">
        <v>58</v>
      </c>
      <c r="E24" s="67"/>
      <c r="F24" s="343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81"/>
      <c r="AD24" s="81"/>
      <c r="AE24" s="81"/>
      <c r="AF24" s="81"/>
      <c r="AG24" s="81"/>
      <c r="AH24" s="81"/>
      <c r="AI24" s="81"/>
      <c r="AJ24" s="81"/>
    </row>
    <row r="25" spans="2:36" ht="20.25" customHeight="1" x14ac:dyDescent="0.3">
      <c r="B25" s="13" t="s">
        <v>59</v>
      </c>
      <c r="C25" s="358" t="s">
        <v>119</v>
      </c>
      <c r="D25" s="166">
        <v>0.64</v>
      </c>
      <c r="E25" s="23">
        <v>30</v>
      </c>
      <c r="F25" s="308"/>
      <c r="G25" s="230">
        <v>1</v>
      </c>
      <c r="H25" s="317">
        <v>100</v>
      </c>
      <c r="I25" s="231">
        <v>1</v>
      </c>
      <c r="J25" s="317">
        <v>100</v>
      </c>
      <c r="K25" s="231">
        <v>1</v>
      </c>
      <c r="L25" s="317">
        <v>100</v>
      </c>
      <c r="M25" s="231">
        <v>1</v>
      </c>
      <c r="N25" s="317">
        <v>100</v>
      </c>
      <c r="O25" s="231">
        <v>1</v>
      </c>
      <c r="P25" s="317">
        <v>100</v>
      </c>
      <c r="Q25" s="183">
        <v>0</v>
      </c>
      <c r="R25" s="23">
        <v>30</v>
      </c>
      <c r="S25" s="231">
        <v>1</v>
      </c>
      <c r="T25" s="25">
        <v>100</v>
      </c>
      <c r="U25" s="183">
        <v>0</v>
      </c>
      <c r="V25" s="23">
        <v>30</v>
      </c>
      <c r="W25" s="231">
        <v>1</v>
      </c>
      <c r="X25" s="25">
        <v>100</v>
      </c>
      <c r="Y25" s="231">
        <v>1</v>
      </c>
      <c r="Z25" s="25">
        <v>100</v>
      </c>
      <c r="AA25" s="231">
        <v>1</v>
      </c>
      <c r="AB25" s="317">
        <v>100</v>
      </c>
      <c r="AC25" s="33"/>
      <c r="AD25" s="23"/>
      <c r="AE25" s="33"/>
      <c r="AF25" s="23"/>
      <c r="AG25" s="33"/>
      <c r="AH25" s="23"/>
      <c r="AI25" s="33"/>
      <c r="AJ25" s="23"/>
    </row>
    <row r="26" spans="2:36" ht="20.25" customHeight="1" x14ac:dyDescent="0.3">
      <c r="B26" s="13" t="s">
        <v>61</v>
      </c>
      <c r="C26" s="358" t="s">
        <v>121</v>
      </c>
      <c r="D26" s="166">
        <v>0.57999999999999996</v>
      </c>
      <c r="E26" s="23">
        <v>30</v>
      </c>
      <c r="F26" s="308"/>
      <c r="G26" s="230">
        <v>1</v>
      </c>
      <c r="H26" s="317">
        <v>100</v>
      </c>
      <c r="I26" s="231">
        <v>1</v>
      </c>
      <c r="J26" s="317">
        <v>100</v>
      </c>
      <c r="K26" s="183">
        <v>0</v>
      </c>
      <c r="L26" s="23">
        <v>30</v>
      </c>
      <c r="M26" s="183">
        <v>0</v>
      </c>
      <c r="N26" s="23">
        <v>30</v>
      </c>
      <c r="O26" s="231">
        <v>1</v>
      </c>
      <c r="P26" s="317">
        <v>100</v>
      </c>
      <c r="Q26" s="183">
        <v>0</v>
      </c>
      <c r="R26" s="23">
        <v>30</v>
      </c>
      <c r="S26" s="231">
        <v>1</v>
      </c>
      <c r="T26" s="25">
        <v>100</v>
      </c>
      <c r="U26" s="183">
        <v>0</v>
      </c>
      <c r="V26" s="23">
        <v>30</v>
      </c>
      <c r="W26" s="183" t="s">
        <v>120</v>
      </c>
      <c r="X26" s="220" t="s">
        <v>41</v>
      </c>
      <c r="Y26" s="183" t="s">
        <v>120</v>
      </c>
      <c r="Z26" s="220" t="s">
        <v>41</v>
      </c>
      <c r="AA26" s="183">
        <v>0</v>
      </c>
      <c r="AB26" s="23">
        <v>30</v>
      </c>
      <c r="AC26" s="33"/>
      <c r="AD26" s="23"/>
      <c r="AE26" s="33"/>
      <c r="AF26" s="23"/>
      <c r="AG26" s="33"/>
      <c r="AH26" s="23"/>
      <c r="AI26" s="33"/>
      <c r="AJ26" s="23"/>
    </row>
    <row r="27" spans="2:36" ht="20.25" customHeight="1" x14ac:dyDescent="0.3">
      <c r="B27" s="360" t="s">
        <v>63</v>
      </c>
      <c r="C27" s="306" t="s">
        <v>64</v>
      </c>
      <c r="D27" s="315">
        <v>0.83</v>
      </c>
      <c r="E27" s="19">
        <v>73</v>
      </c>
      <c r="F27" s="309"/>
      <c r="G27" s="179">
        <v>0.38</v>
      </c>
      <c r="H27" s="317">
        <v>100</v>
      </c>
      <c r="I27" s="180">
        <v>0.34</v>
      </c>
      <c r="J27" s="317">
        <v>100</v>
      </c>
      <c r="K27" s="180">
        <v>0.63</v>
      </c>
      <c r="L27" s="317">
        <v>100</v>
      </c>
      <c r="M27" s="180">
        <v>0.56000000000000005</v>
      </c>
      <c r="N27" s="317">
        <v>100</v>
      </c>
      <c r="O27" s="180">
        <v>0.56999999999999995</v>
      </c>
      <c r="P27" s="317">
        <v>100</v>
      </c>
      <c r="Q27" s="180">
        <v>0.28999999999999998</v>
      </c>
      <c r="R27" s="317">
        <v>100</v>
      </c>
      <c r="S27" s="180">
        <v>0.51</v>
      </c>
      <c r="T27" s="25">
        <v>100</v>
      </c>
      <c r="U27" s="180">
        <v>0.55000000000000004</v>
      </c>
      <c r="V27" s="19">
        <v>73</v>
      </c>
      <c r="W27" s="180">
        <v>0.15</v>
      </c>
      <c r="X27" s="25">
        <v>100</v>
      </c>
      <c r="Y27" s="180">
        <v>0.69</v>
      </c>
      <c r="Z27" s="19">
        <v>73</v>
      </c>
      <c r="AA27" s="180">
        <v>0.48</v>
      </c>
      <c r="AB27" s="317">
        <v>100</v>
      </c>
      <c r="AC27" s="33"/>
      <c r="AD27" s="23"/>
      <c r="AE27" s="33"/>
      <c r="AF27" s="23"/>
      <c r="AG27" s="33"/>
      <c r="AH27" s="23"/>
      <c r="AI27" s="33"/>
      <c r="AJ27" s="23"/>
    </row>
    <row r="28" spans="2:36" ht="37.5" x14ac:dyDescent="0.3">
      <c r="B28" s="417" t="s">
        <v>65</v>
      </c>
      <c r="C28" s="306" t="s">
        <v>66</v>
      </c>
      <c r="D28" s="315">
        <v>0.39</v>
      </c>
      <c r="E28" s="306">
        <v>30</v>
      </c>
      <c r="F28" s="347"/>
      <c r="G28" s="179">
        <v>3.14</v>
      </c>
      <c r="H28" s="23">
        <v>30</v>
      </c>
      <c r="I28" s="180">
        <v>3.33</v>
      </c>
      <c r="J28" s="19">
        <v>73</v>
      </c>
      <c r="K28" s="180">
        <v>4.08</v>
      </c>
      <c r="L28" s="19">
        <v>73</v>
      </c>
      <c r="M28" s="180">
        <v>4.05</v>
      </c>
      <c r="N28" s="23">
        <v>30</v>
      </c>
      <c r="O28" s="180">
        <v>4.51</v>
      </c>
      <c r="P28" s="317">
        <v>100</v>
      </c>
      <c r="Q28" s="180">
        <v>3.66</v>
      </c>
      <c r="R28" s="317">
        <v>100</v>
      </c>
      <c r="S28" s="180">
        <v>3.71</v>
      </c>
      <c r="T28" s="23">
        <v>30</v>
      </c>
      <c r="U28" s="180">
        <v>3.83</v>
      </c>
      <c r="V28" s="19">
        <v>100</v>
      </c>
      <c r="W28" s="180">
        <v>2.58</v>
      </c>
      <c r="X28" s="25">
        <v>100</v>
      </c>
      <c r="Y28" s="180">
        <v>3.14</v>
      </c>
      <c r="Z28" s="25">
        <v>100</v>
      </c>
      <c r="AA28" s="180">
        <v>4.42</v>
      </c>
      <c r="AB28" s="317">
        <v>100</v>
      </c>
      <c r="AC28" s="33"/>
      <c r="AD28" s="23"/>
      <c r="AE28" s="33"/>
      <c r="AF28" s="23"/>
      <c r="AG28" s="33"/>
      <c r="AH28" s="23"/>
      <c r="AI28" s="33"/>
      <c r="AJ28" s="23"/>
    </row>
    <row r="29" spans="2:36" ht="37.5" x14ac:dyDescent="0.3">
      <c r="B29" s="360" t="s">
        <v>67</v>
      </c>
      <c r="C29" s="306" t="s">
        <v>66</v>
      </c>
      <c r="D29" s="315">
        <v>0.96</v>
      </c>
      <c r="E29" s="313">
        <v>73</v>
      </c>
      <c r="F29" s="347"/>
      <c r="G29" s="179">
        <v>0.85</v>
      </c>
      <c r="H29" s="317">
        <v>100</v>
      </c>
      <c r="I29" s="180">
        <v>0.83</v>
      </c>
      <c r="J29" s="19">
        <v>100</v>
      </c>
      <c r="K29" s="180">
        <v>0.78</v>
      </c>
      <c r="L29" s="19">
        <v>100</v>
      </c>
      <c r="M29" s="180">
        <v>0.91</v>
      </c>
      <c r="N29" s="317">
        <v>100</v>
      </c>
      <c r="O29" s="180">
        <v>0.81</v>
      </c>
      <c r="P29" s="317">
        <v>100</v>
      </c>
      <c r="Q29" s="193">
        <v>0.79</v>
      </c>
      <c r="R29" s="317">
        <v>100</v>
      </c>
      <c r="S29" s="180">
        <v>0.88</v>
      </c>
      <c r="T29" s="25">
        <v>100</v>
      </c>
      <c r="U29" s="180">
        <v>0.77</v>
      </c>
      <c r="V29" s="19">
        <v>100</v>
      </c>
      <c r="W29" s="180">
        <v>0.6</v>
      </c>
      <c r="X29" s="25">
        <v>100</v>
      </c>
      <c r="Y29" s="180">
        <v>0.75</v>
      </c>
      <c r="Z29" s="25">
        <v>100</v>
      </c>
      <c r="AA29" s="180">
        <v>0.8</v>
      </c>
      <c r="AB29" s="19">
        <v>100</v>
      </c>
      <c r="AC29" s="33"/>
      <c r="AD29" s="23"/>
      <c r="AE29" s="33"/>
      <c r="AF29" s="23"/>
      <c r="AG29" s="33"/>
      <c r="AH29" s="23"/>
      <c r="AI29" s="33"/>
      <c r="AJ29" s="23"/>
    </row>
    <row r="30" spans="2:36" ht="20.25" customHeight="1" x14ac:dyDescent="0.3">
      <c r="B30" s="71" t="s">
        <v>68</v>
      </c>
      <c r="C30" s="381"/>
      <c r="D30" s="70" t="s">
        <v>69</v>
      </c>
      <c r="E30" s="70"/>
      <c r="F30" s="175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77"/>
      <c r="X30" s="77"/>
      <c r="Y30" s="77"/>
      <c r="Z30" s="77"/>
      <c r="AA30" s="77"/>
      <c r="AB30" s="77"/>
      <c r="AC30" s="80"/>
      <c r="AD30" s="80"/>
      <c r="AE30" s="80"/>
      <c r="AF30" s="80"/>
      <c r="AG30" s="80"/>
      <c r="AH30" s="80"/>
      <c r="AI30" s="80"/>
      <c r="AJ30" s="80"/>
    </row>
    <row r="31" spans="2:36" ht="20.25" customHeight="1" x14ac:dyDescent="0.3">
      <c r="B31" s="360" t="s">
        <v>70</v>
      </c>
      <c r="C31" s="386" t="s">
        <v>279</v>
      </c>
      <c r="D31" s="165" t="s">
        <v>76</v>
      </c>
      <c r="E31" s="23">
        <v>30</v>
      </c>
      <c r="F31" s="109"/>
      <c r="G31" s="187" t="s">
        <v>280</v>
      </c>
      <c r="H31" s="23">
        <v>30</v>
      </c>
      <c r="I31" s="195" t="s">
        <v>281</v>
      </c>
      <c r="J31" s="23">
        <v>100</v>
      </c>
      <c r="K31" s="195" t="s">
        <v>282</v>
      </c>
      <c r="L31" s="14">
        <v>100</v>
      </c>
      <c r="M31" s="195" t="s">
        <v>283</v>
      </c>
      <c r="N31" s="14">
        <v>100</v>
      </c>
      <c r="O31" s="195" t="s">
        <v>284</v>
      </c>
      <c r="P31" s="23">
        <v>30</v>
      </c>
      <c r="Q31" s="195" t="s">
        <v>285</v>
      </c>
      <c r="R31" s="23">
        <v>30</v>
      </c>
      <c r="S31" s="195" t="s">
        <v>286</v>
      </c>
      <c r="T31" s="14">
        <v>100</v>
      </c>
      <c r="U31" s="195" t="s">
        <v>287</v>
      </c>
      <c r="V31" s="14">
        <v>100</v>
      </c>
      <c r="W31" s="200" t="s">
        <v>288</v>
      </c>
      <c r="X31" s="14">
        <v>100</v>
      </c>
      <c r="Y31" s="200" t="s">
        <v>289</v>
      </c>
      <c r="Z31" s="14">
        <v>100</v>
      </c>
      <c r="AA31" s="200" t="s">
        <v>290</v>
      </c>
      <c r="AB31" s="14">
        <v>30</v>
      </c>
      <c r="AC31" s="31"/>
      <c r="AD31" s="25"/>
      <c r="AE31" s="31"/>
      <c r="AF31" s="25"/>
      <c r="AG31" s="31"/>
      <c r="AH31" s="25"/>
      <c r="AI31" s="31"/>
      <c r="AJ31" s="23"/>
    </row>
    <row r="32" spans="2:36" ht="20.25" customHeight="1" x14ac:dyDescent="0.3">
      <c r="B32" s="360" t="s">
        <v>78</v>
      </c>
      <c r="C32" s="377"/>
      <c r="D32" s="169">
        <v>0.154</v>
      </c>
      <c r="E32" s="306">
        <v>100</v>
      </c>
      <c r="F32" s="348"/>
      <c r="G32" s="196">
        <v>0.20499999999999999</v>
      </c>
      <c r="H32" s="303">
        <v>100</v>
      </c>
      <c r="I32" s="197">
        <v>0.188</v>
      </c>
      <c r="J32" s="303">
        <v>100</v>
      </c>
      <c r="K32" s="197">
        <v>0.24</v>
      </c>
      <c r="L32" s="303">
        <v>100</v>
      </c>
      <c r="M32" s="197">
        <v>8.2000000000000003E-2</v>
      </c>
      <c r="N32" s="303">
        <v>100</v>
      </c>
      <c r="O32" s="197">
        <v>-3.7999999999999999E-2</v>
      </c>
      <c r="P32" s="306">
        <v>30</v>
      </c>
      <c r="Q32" s="197">
        <v>-6.8000000000000005E-2</v>
      </c>
      <c r="R32" s="306">
        <v>30</v>
      </c>
      <c r="S32" s="186">
        <v>0.23200000000000001</v>
      </c>
      <c r="T32" s="184">
        <v>100</v>
      </c>
      <c r="U32" s="186">
        <v>0.115</v>
      </c>
      <c r="V32" s="319">
        <v>100</v>
      </c>
      <c r="W32" s="197">
        <v>4.2000000000000003E-2</v>
      </c>
      <c r="X32" s="180">
        <v>100</v>
      </c>
      <c r="Y32" s="197">
        <v>0.10199999999999999</v>
      </c>
      <c r="Z32" s="180">
        <v>100</v>
      </c>
      <c r="AA32" s="197">
        <v>-9.4E-2</v>
      </c>
      <c r="AB32" s="306">
        <v>30</v>
      </c>
      <c r="AC32" s="31"/>
      <c r="AD32" s="25"/>
      <c r="AE32" s="31"/>
      <c r="AF32" s="25"/>
      <c r="AG32" s="31"/>
      <c r="AH32" s="25"/>
      <c r="AI32" s="31"/>
      <c r="AJ32" s="23"/>
    </row>
    <row r="33" spans="2:36" ht="20.25" customHeight="1" x14ac:dyDescent="0.3">
      <c r="B33" s="64" t="s">
        <v>80</v>
      </c>
      <c r="C33" s="383"/>
      <c r="D33" s="130" t="s">
        <v>81</v>
      </c>
      <c r="E33" s="63"/>
      <c r="F33" s="176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78"/>
      <c r="X33" s="78"/>
      <c r="Y33" s="78"/>
      <c r="Z33" s="78"/>
      <c r="AA33" s="78"/>
      <c r="AB33" s="78"/>
      <c r="AC33" s="80"/>
      <c r="AD33" s="80"/>
      <c r="AE33" s="80"/>
      <c r="AF33" s="80"/>
      <c r="AG33" s="80"/>
      <c r="AH33" s="80"/>
      <c r="AI33" s="80"/>
      <c r="AJ33" s="80"/>
    </row>
    <row r="34" spans="2:36" ht="20.25" customHeight="1" x14ac:dyDescent="0.3">
      <c r="B34" s="13"/>
      <c r="C34" s="385">
        <v>0.60499999999999998</v>
      </c>
      <c r="D34" s="26">
        <v>0.56899999999999995</v>
      </c>
      <c r="E34" s="19">
        <v>30</v>
      </c>
      <c r="F34" s="109"/>
      <c r="G34" s="198">
        <v>0.66400000000000003</v>
      </c>
      <c r="H34" s="14">
        <v>100</v>
      </c>
      <c r="I34" s="198">
        <v>0.66400000000000003</v>
      </c>
      <c r="J34" s="14">
        <v>100</v>
      </c>
      <c r="K34" s="198">
        <v>0.66400000000000003</v>
      </c>
      <c r="L34" s="14">
        <v>100</v>
      </c>
      <c r="M34" s="198">
        <v>0.66400000000000003</v>
      </c>
      <c r="N34" s="14">
        <v>100</v>
      </c>
      <c r="O34" s="198">
        <v>0.66400000000000003</v>
      </c>
      <c r="P34" s="14">
        <v>100</v>
      </c>
      <c r="Q34" s="199">
        <v>0.45700000000000002</v>
      </c>
      <c r="R34" s="199">
        <v>30</v>
      </c>
      <c r="S34" s="199">
        <v>0.41499999999999998</v>
      </c>
      <c r="T34" s="201">
        <v>30</v>
      </c>
      <c r="U34" s="199">
        <v>0.502</v>
      </c>
      <c r="V34" s="14">
        <v>100</v>
      </c>
      <c r="W34" s="199">
        <v>0.45700000000000002</v>
      </c>
      <c r="X34" s="199">
        <v>30</v>
      </c>
      <c r="Y34" s="186" t="s">
        <v>41</v>
      </c>
      <c r="Z34" s="227"/>
      <c r="AA34" s="199">
        <v>0.45700000000000002</v>
      </c>
      <c r="AB34" s="199">
        <v>30</v>
      </c>
      <c r="AC34" s="27"/>
      <c r="AD34" s="27"/>
      <c r="AE34" s="27"/>
      <c r="AF34" s="27"/>
      <c r="AG34" s="27"/>
      <c r="AH34" s="27"/>
      <c r="AI34" s="27"/>
      <c r="AJ34" s="23"/>
    </row>
    <row r="35" spans="2:36" ht="20.25" customHeight="1" x14ac:dyDescent="0.3">
      <c r="B35" s="363" t="s">
        <v>84</v>
      </c>
      <c r="C35" s="363"/>
      <c r="D35" s="387">
        <f>IFERROR(COUNTIF(E11:E34,"&gt;=74")/COUNTIFS(E11:E34,"&gt;0",E11:E34,"&lt;&gt;N/A"),0)</f>
        <v>0.15789473684210525</v>
      </c>
      <c r="E35" s="363"/>
      <c r="F35" s="363"/>
      <c r="G35" s="387">
        <f>IFERROR(COUNTIF(H11:H34,"&gt;=74")/COUNTIFS(H11:H34,"&gt;0",H11:H34,"&lt;&gt;N/A"),0)</f>
        <v>0.63157894736842102</v>
      </c>
      <c r="H35" s="363"/>
      <c r="I35" s="387">
        <f>IFERROR(COUNTIF(J11:J34,"&gt;=74")/COUNTIFS(J11:J34,"&gt;0",J11:J34,"&lt;&gt;N/A"),0)</f>
        <v>0.63157894736842102</v>
      </c>
      <c r="J35" s="363"/>
      <c r="K35" s="387">
        <f>IFERROR(COUNTIF(L11:L34,"&gt;=74")/COUNTIFS(L11:L34,"&gt;0",L11:L34,"&lt;&gt;N/A"),0)</f>
        <v>0.47368421052631576</v>
      </c>
      <c r="L35" s="363"/>
      <c r="M35" s="387">
        <f>IFERROR(COUNTIF(N11:N34,"&gt;=74")/COUNTIFS(N11:N34,"&gt;0",N11:N34,"&lt;&gt;N/A"),0)</f>
        <v>0.47368421052631576</v>
      </c>
      <c r="N35" s="363"/>
      <c r="O35" s="387">
        <f>IFERROR(COUNTIF(P11:P34,"&gt;=74")/COUNTIFS(P11:P34,"&gt;0",P11:P34,"&lt;&gt;N/A"),0)</f>
        <v>0.42105263157894735</v>
      </c>
      <c r="P35" s="363"/>
      <c r="Q35" s="387">
        <f>IFERROR(COUNTIF(R11:R34,"&gt;=74")/COUNTIFS(R11:R34,"&gt;0",R11:R34,"&lt;&gt;N/A"),0)</f>
        <v>0.47368421052631576</v>
      </c>
      <c r="R35" s="363"/>
      <c r="S35" s="387">
        <f>IFERROR(COUNTIF(T11:T34,"&gt;=74")/COUNTIFS(T11:T34,"&gt;0",T11:T34,"&lt;&gt;N/A"),0)</f>
        <v>0.63157894736842102</v>
      </c>
      <c r="T35" s="363"/>
      <c r="U35" s="387">
        <f>IFERROR(COUNTIF(V11:V34,"&gt;=74")/COUNTIFS(V11:V34,"&gt;0",V11:V34,"&lt;&gt;N/A"),0)</f>
        <v>0.68421052631578949</v>
      </c>
      <c r="V35" s="363"/>
      <c r="W35" s="387">
        <f>IFERROR(COUNTIF(X11:X34,"&gt;=74")/COUNTIFS(X11:X34,"&gt;0",X11:X34,"&lt;&gt;N/A"),0)</f>
        <v>0.70588235294117652</v>
      </c>
      <c r="X35" s="392"/>
      <c r="Y35" s="387">
        <f>IFERROR(COUNTIF(Z11:Z34,"&gt;=74")/COUNTIFS(Z11:Z34,"&gt;0",Z11:Z34,"&lt;&gt;N/A"),0)</f>
        <v>0.375</v>
      </c>
      <c r="Z35" s="392"/>
      <c r="AA35" s="387">
        <f>IFERROR(COUNTIF(AB11:AB34,"&gt;=74")/COUNTIFS(AB11:AB34,"&gt;0",AB11:AB34,"&lt;&gt;N/A"),0)</f>
        <v>0.57894736842105265</v>
      </c>
      <c r="AB35" s="392"/>
      <c r="AC35" s="387">
        <f>IFERROR(COUNTIF(AD11:AD34,"&gt;=74")/COUNTIFS(AD11:AD34,"&gt;0",AD11:AD34,"&lt;&gt;N/A"),0)</f>
        <v>0</v>
      </c>
      <c r="AD35" s="317"/>
      <c r="AE35" s="393"/>
      <c r="AF35" s="317"/>
      <c r="AG35" s="393"/>
      <c r="AH35" s="317"/>
      <c r="AI35" s="27"/>
      <c r="AJ35" s="23"/>
    </row>
    <row r="36" spans="2:36" ht="27" customHeight="1" x14ac:dyDescent="0.3">
      <c r="B36" s="363" t="s">
        <v>122</v>
      </c>
      <c r="C36" s="363"/>
      <c r="D36" s="387"/>
      <c r="E36" s="363"/>
      <c r="F36" s="363"/>
      <c r="G36" s="471" t="s">
        <v>291</v>
      </c>
      <c r="H36" s="471"/>
      <c r="I36" s="471" t="s">
        <v>292</v>
      </c>
      <c r="J36" s="471"/>
      <c r="K36" s="471" t="s">
        <v>293</v>
      </c>
      <c r="L36" s="471"/>
      <c r="M36" s="471" t="s">
        <v>294</v>
      </c>
      <c r="N36" s="471"/>
      <c r="O36" s="471" t="s">
        <v>295</v>
      </c>
      <c r="P36" s="471"/>
      <c r="Q36" s="471" t="s">
        <v>296</v>
      </c>
      <c r="R36" s="471"/>
      <c r="S36" s="471" t="s">
        <v>297</v>
      </c>
      <c r="T36" s="471"/>
      <c r="U36" s="471" t="s">
        <v>298</v>
      </c>
      <c r="V36" s="471"/>
      <c r="W36" s="471" t="s">
        <v>296</v>
      </c>
      <c r="X36" s="471"/>
      <c r="Y36" s="471" t="s">
        <v>297</v>
      </c>
      <c r="Z36" s="471"/>
      <c r="AA36" s="471" t="s">
        <v>299</v>
      </c>
      <c r="AB36" s="471"/>
    </row>
    <row r="37" spans="2:36" x14ac:dyDescent="0.3">
      <c r="B37" s="363" t="s">
        <v>132</v>
      </c>
      <c r="C37" s="363"/>
      <c r="D37" s="387"/>
      <c r="E37" s="363"/>
      <c r="F37" s="363"/>
      <c r="G37" s="472">
        <v>46062</v>
      </c>
      <c r="H37" s="472"/>
      <c r="I37" s="472">
        <v>45432</v>
      </c>
      <c r="J37" s="472"/>
      <c r="K37" s="472">
        <v>46047</v>
      </c>
      <c r="L37" s="472"/>
      <c r="M37" s="472">
        <v>45139</v>
      </c>
      <c r="N37" s="472"/>
      <c r="O37" s="472">
        <v>45139</v>
      </c>
      <c r="P37" s="472"/>
      <c r="Q37" s="472">
        <v>45823</v>
      </c>
      <c r="R37" s="472"/>
      <c r="S37" s="472">
        <v>45922</v>
      </c>
      <c r="T37" s="472"/>
      <c r="U37" s="472">
        <v>45641</v>
      </c>
      <c r="V37" s="472"/>
      <c r="W37" s="472">
        <v>45823</v>
      </c>
      <c r="X37" s="472"/>
      <c r="Y37" s="472">
        <v>45922</v>
      </c>
      <c r="Z37" s="472"/>
      <c r="AA37" s="472">
        <v>45683</v>
      </c>
      <c r="AB37" s="472"/>
    </row>
  </sheetData>
  <mergeCells count="37">
    <mergeCell ref="D10:AB10"/>
    <mergeCell ref="E5:F5"/>
    <mergeCell ref="Q4:AA4"/>
    <mergeCell ref="G5:H5"/>
    <mergeCell ref="I5:J5"/>
    <mergeCell ref="K5:L5"/>
    <mergeCell ref="M5:N5"/>
    <mergeCell ref="O5:P5"/>
    <mergeCell ref="G4:P4"/>
    <mergeCell ref="AA5:AB5"/>
    <mergeCell ref="Q5:R5"/>
    <mergeCell ref="S5:T5"/>
    <mergeCell ref="U5:V5"/>
    <mergeCell ref="W5:X5"/>
    <mergeCell ref="Y5:Z5"/>
    <mergeCell ref="Y36:Z36"/>
    <mergeCell ref="G36:H36"/>
    <mergeCell ref="I36:J36"/>
    <mergeCell ref="K36:L36"/>
    <mergeCell ref="M36:N36"/>
    <mergeCell ref="O36:P36"/>
    <mergeCell ref="AA36:AB36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Q36:R36"/>
    <mergeCell ref="S36:T36"/>
    <mergeCell ref="U36:V36"/>
    <mergeCell ref="W36:X36"/>
  </mergeCells>
  <conditionalFormatting sqref="E11">
    <cfRule type="iconSet" priority="84">
      <iconSet showValue="0">
        <cfvo type="percent" val="0"/>
        <cfvo type="num" val="69"/>
        <cfvo type="num" val="78"/>
      </iconSet>
    </cfRule>
    <cfRule type="iconSet" priority="85">
      <iconSet showValue="0">
        <cfvo type="percent" val="0"/>
        <cfvo type="num" val="69"/>
        <cfvo type="num" val="78"/>
      </iconSet>
    </cfRule>
  </conditionalFormatting>
  <conditionalFormatting sqref="E12">
    <cfRule type="iconSet" priority="83">
      <iconSet showValue="0">
        <cfvo type="percent" val="0"/>
        <cfvo type="num" val="69"/>
        <cfvo type="num" val="78"/>
      </iconSet>
    </cfRule>
    <cfRule type="iconSet" priority="82">
      <iconSet showValue="0">
        <cfvo type="percent" val="0"/>
        <cfvo type="num" val="69"/>
        <cfvo type="num" val="78"/>
      </iconSet>
    </cfRule>
  </conditionalFormatting>
  <conditionalFormatting sqref="E13">
    <cfRule type="iconSet" priority="86">
      <iconSet showValue="0">
        <cfvo type="percent" val="0"/>
        <cfvo type="num" val="70"/>
        <cfvo type="num" val="75"/>
      </iconSet>
    </cfRule>
  </conditionalFormatting>
  <conditionalFormatting sqref="E15">
    <cfRule type="iconSet" priority="380">
      <iconSet showValue="0">
        <cfvo type="percent" val="0"/>
        <cfvo type="num" val="69"/>
        <cfvo type="num" val="78"/>
      </iconSet>
    </cfRule>
    <cfRule type="iconSet" priority="381">
      <iconSet showValue="0">
        <cfvo type="percent" val="0"/>
        <cfvo type="num" val="69"/>
        <cfvo type="num" val="78"/>
      </iconSet>
    </cfRule>
  </conditionalFormatting>
  <conditionalFormatting sqref="E16">
    <cfRule type="iconSet" priority="391">
      <iconSet showValue="0">
        <cfvo type="percent" val="0"/>
        <cfvo type="num" val="70"/>
        <cfvo type="num" val="75"/>
      </iconSet>
    </cfRule>
  </conditionalFormatting>
  <conditionalFormatting sqref="E17">
    <cfRule type="iconSet" priority="5">
      <iconSet showValue="0">
        <cfvo type="percent" val="0"/>
        <cfvo type="num" val="70"/>
        <cfvo type="num" val="75"/>
      </iconSet>
    </cfRule>
  </conditionalFormatting>
  <conditionalFormatting sqref="E18">
    <cfRule type="iconSet" priority="377">
      <iconSet showValue="0">
        <cfvo type="percent" val="0"/>
        <cfvo type="num" val="50"/>
        <cfvo type="num" val="50"/>
      </iconSet>
    </cfRule>
  </conditionalFormatting>
  <conditionalFormatting sqref="E20">
    <cfRule type="iconSet" priority="22">
      <iconSet showValue="0">
        <cfvo type="percent" val="0"/>
        <cfvo type="num" val="70"/>
        <cfvo type="num" val="75"/>
      </iconSet>
    </cfRule>
  </conditionalFormatting>
  <conditionalFormatting sqref="E21">
    <cfRule type="iconSet" priority="21">
      <iconSet showValue="0">
        <cfvo type="percent" val="0"/>
        <cfvo type="num" val="70"/>
        <cfvo type="num" val="75"/>
      </iconSet>
    </cfRule>
  </conditionalFormatting>
  <conditionalFormatting sqref="E22">
    <cfRule type="iconSet" priority="20">
      <iconSet showValue="0">
        <cfvo type="percent" val="0"/>
        <cfvo type="num" val="50"/>
        <cfvo type="num" val="50"/>
      </iconSet>
    </cfRule>
  </conditionalFormatting>
  <conditionalFormatting sqref="E23">
    <cfRule type="iconSet" priority="19">
      <iconSet showValue="0">
        <cfvo type="percent" val="0"/>
        <cfvo type="num" val="70"/>
        <cfvo type="num" val="75"/>
      </iconSet>
    </cfRule>
  </conditionalFormatting>
  <conditionalFormatting sqref="E25">
    <cfRule type="iconSet" priority="104">
      <iconSet showValue="0">
        <cfvo type="percent" val="0"/>
        <cfvo type="num" val="50"/>
        <cfvo type="num" val="50"/>
      </iconSet>
    </cfRule>
  </conditionalFormatting>
  <conditionalFormatting sqref="E26">
    <cfRule type="iconSet" priority="103">
      <iconSet showValue="0">
        <cfvo type="percent" val="0"/>
        <cfvo type="num" val="50"/>
        <cfvo type="num" val="50"/>
      </iconSet>
    </cfRule>
  </conditionalFormatting>
  <conditionalFormatting sqref="E27">
    <cfRule type="iconSet" priority="105">
      <iconSet showValue="0">
        <cfvo type="percent" val="0"/>
        <cfvo type="num" val="70"/>
        <cfvo type="num" val="75"/>
      </iconSet>
    </cfRule>
  </conditionalFormatting>
  <conditionalFormatting sqref="E28">
    <cfRule type="iconSet" priority="79">
      <iconSet showValue="0">
        <cfvo type="percent" val="0"/>
        <cfvo type="num" val="50"/>
        <cfvo type="num" val="50"/>
      </iconSet>
    </cfRule>
  </conditionalFormatting>
  <conditionalFormatting sqref="E29">
    <cfRule type="iconSet" priority="3">
      <iconSet showValue="0">
        <cfvo type="percent" val="0"/>
        <cfvo type="num" val="70"/>
        <cfvo type="num" val="75"/>
      </iconSet>
    </cfRule>
  </conditionalFormatting>
  <conditionalFormatting sqref="E31:E32">
    <cfRule type="iconSet" priority="373">
      <iconSet showValue="0">
        <cfvo type="percent" val="0"/>
        <cfvo type="num" val="50"/>
        <cfvo type="num" val="50"/>
      </iconSet>
    </cfRule>
  </conditionalFormatting>
  <conditionalFormatting sqref="E34">
    <cfRule type="iconSet" priority="386">
      <iconSet showValue="0">
        <cfvo type="percent" val="0"/>
        <cfvo type="num" val="70"/>
        <cfvo type="num" val="75"/>
      </iconSet>
    </cfRule>
  </conditionalFormatting>
  <conditionalFormatting sqref="H11:H12">
    <cfRule type="iconSet" priority="185">
      <iconSet showValue="0">
        <cfvo type="percent" val="0"/>
        <cfvo type="num" val="69"/>
        <cfvo type="num" val="78"/>
      </iconSet>
    </cfRule>
    <cfRule type="iconSet" priority="186">
      <iconSet showValue="0">
        <cfvo type="percent" val="0"/>
        <cfvo type="num" val="69"/>
        <cfvo type="num" val="78"/>
      </iconSet>
    </cfRule>
  </conditionalFormatting>
  <conditionalFormatting sqref="H13">
    <cfRule type="iconSet" priority="181">
      <iconSet showValue="0">
        <cfvo type="percent" val="0"/>
        <cfvo type="num" val="70"/>
        <cfvo type="num" val="75"/>
      </iconSet>
    </cfRule>
  </conditionalFormatting>
  <conditionalFormatting sqref="H15:H16">
    <cfRule type="iconSet" priority="142">
      <iconSet showValue="0">
        <cfvo type="percent" val="0"/>
        <cfvo type="num" val="50"/>
        <cfvo type="num" val="50"/>
      </iconSet>
    </cfRule>
  </conditionalFormatting>
  <conditionalFormatting sqref="H17">
    <cfRule type="iconSet" priority="11">
      <iconSet showValue="0">
        <cfvo type="percent" val="0"/>
        <cfvo type="num" val="70"/>
        <cfvo type="num" val="75"/>
      </iconSet>
    </cfRule>
  </conditionalFormatting>
  <conditionalFormatting sqref="H18 N18">
    <cfRule type="iconSet" priority="2309">
      <iconSet showValue="0">
        <cfvo type="percent" val="0"/>
        <cfvo type="num" val="50"/>
        <cfvo type="num" val="50"/>
      </iconSet>
    </cfRule>
  </conditionalFormatting>
  <conditionalFormatting sqref="H21">
    <cfRule type="iconSet" priority="351">
      <iconSet showValue="0">
        <cfvo type="percent" val="0"/>
        <cfvo type="num" val="69"/>
        <cfvo type="num" val="78"/>
      </iconSet>
    </cfRule>
    <cfRule type="iconSet" priority="352">
      <iconSet showValue="0">
        <cfvo type="percent" val="0"/>
        <cfvo type="num" val="69"/>
        <cfvo type="num" val="78"/>
      </iconSet>
    </cfRule>
  </conditionalFormatting>
  <conditionalFormatting sqref="H22">
    <cfRule type="iconSet" priority="349">
      <iconSet showValue="0">
        <cfvo type="percent" val="0"/>
        <cfvo type="num" val="69"/>
        <cfvo type="num" val="78"/>
      </iconSet>
    </cfRule>
    <cfRule type="iconSet" priority="350">
      <iconSet showValue="0">
        <cfvo type="percent" val="0"/>
        <cfvo type="num" val="69"/>
        <cfvo type="num" val="78"/>
      </iconSet>
    </cfRule>
  </conditionalFormatting>
  <conditionalFormatting sqref="H23">
    <cfRule type="iconSet" priority="347">
      <iconSet showValue="0">
        <cfvo type="percent" val="0"/>
        <cfvo type="num" val="69"/>
        <cfvo type="num" val="78"/>
      </iconSet>
    </cfRule>
    <cfRule type="iconSet" priority="348">
      <iconSet showValue="0">
        <cfvo type="percent" val="0"/>
        <cfvo type="num" val="69"/>
        <cfvo type="num" val="78"/>
      </iconSet>
    </cfRule>
  </conditionalFormatting>
  <conditionalFormatting sqref="H25">
    <cfRule type="iconSet" priority="37">
      <iconSet showValue="0">
        <cfvo type="percent" val="0"/>
        <cfvo type="num" val="69"/>
        <cfvo type="num" val="78"/>
      </iconSet>
    </cfRule>
    <cfRule type="iconSet" priority="38">
      <iconSet showValue="0">
        <cfvo type="percent" val="0"/>
        <cfvo type="num" val="69"/>
        <cfvo type="num" val="78"/>
      </iconSet>
    </cfRule>
  </conditionalFormatting>
  <conditionalFormatting sqref="H26">
    <cfRule type="iconSet" priority="57">
      <iconSet showValue="0">
        <cfvo type="percent" val="0"/>
        <cfvo type="num" val="69"/>
        <cfvo type="num" val="78"/>
      </iconSet>
    </cfRule>
    <cfRule type="iconSet" priority="58">
      <iconSet showValue="0">
        <cfvo type="percent" val="0"/>
        <cfvo type="num" val="69"/>
        <cfvo type="num" val="78"/>
      </iconSet>
    </cfRule>
  </conditionalFormatting>
  <conditionalFormatting sqref="H27">
    <cfRule type="iconSet" priority="77">
      <iconSet showValue="0">
        <cfvo type="percent" val="0"/>
        <cfvo type="num" val="69"/>
        <cfvo type="num" val="78"/>
      </iconSet>
    </cfRule>
    <cfRule type="iconSet" priority="78">
      <iconSet showValue="0">
        <cfvo type="percent" val="0"/>
        <cfvo type="num" val="69"/>
        <cfvo type="num" val="78"/>
      </iconSet>
    </cfRule>
  </conditionalFormatting>
  <conditionalFormatting sqref="H28">
    <cfRule type="iconSet" priority="204">
      <iconSet showValue="0">
        <cfvo type="percent" val="0"/>
        <cfvo type="num" val="50"/>
        <cfvo type="num" val="50"/>
      </iconSet>
    </cfRule>
  </conditionalFormatting>
  <conditionalFormatting sqref="H29">
    <cfRule type="iconSet" priority="45">
      <iconSet showValue="0">
        <cfvo type="percent" val="0"/>
        <cfvo type="num" val="69"/>
        <cfvo type="num" val="78"/>
      </iconSet>
    </cfRule>
    <cfRule type="iconSet" priority="46">
      <iconSet showValue="0">
        <cfvo type="percent" val="0"/>
        <cfvo type="num" val="69"/>
        <cfvo type="num" val="78"/>
      </iconSet>
    </cfRule>
  </conditionalFormatting>
  <conditionalFormatting sqref="H31">
    <cfRule type="iconSet" priority="169">
      <iconSet showValue="0">
        <cfvo type="percent" val="0"/>
        <cfvo type="num" val="50"/>
        <cfvo type="num" val="50"/>
      </iconSet>
    </cfRule>
  </conditionalFormatting>
  <conditionalFormatting sqref="H32">
    <cfRule type="iconSet" priority="34">
      <iconSet showValue="0">
        <cfvo type="percent" val="0"/>
        <cfvo type="num" val="69"/>
        <cfvo type="num" val="78"/>
      </iconSet>
    </cfRule>
    <cfRule type="iconSet" priority="33">
      <iconSet showValue="0">
        <cfvo type="percent" val="0"/>
        <cfvo type="num" val="69"/>
        <cfvo type="num" val="78"/>
      </iconSet>
    </cfRule>
  </conditionalFormatting>
  <conditionalFormatting sqref="H34">
    <cfRule type="iconSet" priority="96">
      <iconSet showValue="0">
        <cfvo type="percent" val="0"/>
        <cfvo type="num" val="69"/>
        <cfvo type="num" val="78"/>
      </iconSet>
    </cfRule>
    <cfRule type="iconSet" priority="95">
      <iconSet showValue="0">
        <cfvo type="percent" val="0"/>
        <cfvo type="num" val="69"/>
        <cfvo type="num" val="78"/>
      </iconSet>
    </cfRule>
  </conditionalFormatting>
  <conditionalFormatting sqref="J11:J12 P11:P12 R11:R12 V11:V12">
    <cfRule type="iconSet" priority="192">
      <iconSet showValue="0">
        <cfvo type="percent" val="0"/>
        <cfvo type="num" val="69"/>
        <cfvo type="num" val="78"/>
      </iconSet>
    </cfRule>
    <cfRule type="iconSet" priority="193">
      <iconSet showValue="0">
        <cfvo type="percent" val="0"/>
        <cfvo type="num" val="69"/>
        <cfvo type="num" val="78"/>
      </iconSet>
    </cfRule>
  </conditionalFormatting>
  <conditionalFormatting sqref="J15">
    <cfRule type="iconSet" priority="135">
      <iconSet showValue="0">
        <cfvo type="percent" val="0"/>
        <cfvo type="num" val="50"/>
        <cfvo type="num" val="50"/>
      </iconSet>
    </cfRule>
  </conditionalFormatting>
  <conditionalFormatting sqref="J16">
    <cfRule type="iconSet" priority="141">
      <iconSet showValue="0">
        <cfvo type="percent" val="0"/>
        <cfvo type="num" val="50"/>
        <cfvo type="num" val="50"/>
      </iconSet>
    </cfRule>
  </conditionalFormatting>
  <conditionalFormatting sqref="J17">
    <cfRule type="iconSet" priority="16">
      <iconSet showValue="0">
        <cfvo type="percent" val="0"/>
        <cfvo type="num" val="69"/>
        <cfvo type="num" val="78"/>
      </iconSet>
    </cfRule>
    <cfRule type="iconSet" priority="17">
      <iconSet showValue="0">
        <cfvo type="percent" val="0"/>
        <cfvo type="num" val="69"/>
        <cfvo type="num" val="78"/>
      </iconSet>
    </cfRule>
  </conditionalFormatting>
  <conditionalFormatting sqref="J18">
    <cfRule type="iconSet" priority="150">
      <iconSet showValue="0">
        <cfvo type="percent" val="0"/>
        <cfvo type="num" val="50"/>
        <cfvo type="num" val="50"/>
      </iconSet>
    </cfRule>
  </conditionalFormatting>
  <conditionalFormatting sqref="J20">
    <cfRule type="iconSet" priority="342">
      <iconSet showValue="0">
        <cfvo type="percent" val="0"/>
        <cfvo type="num" val="65"/>
        <cfvo type="num" val="75"/>
      </iconSet>
    </cfRule>
  </conditionalFormatting>
  <conditionalFormatting sqref="J21:J22">
    <cfRule type="iconSet" priority="336">
      <iconSet showValue="0">
        <cfvo type="percent" val="0"/>
        <cfvo type="num" val="70"/>
        <cfvo type="num" val="75"/>
      </iconSet>
    </cfRule>
  </conditionalFormatting>
  <conditionalFormatting sqref="J23">
    <cfRule type="iconSet" priority="338">
      <iconSet showValue="0">
        <cfvo type="percent" val="0"/>
        <cfvo type="num" val="69"/>
        <cfvo type="num" val="78"/>
      </iconSet>
    </cfRule>
    <cfRule type="iconSet" priority="337">
      <iconSet showValue="0">
        <cfvo type="percent" val="0"/>
        <cfvo type="num" val="69"/>
        <cfvo type="num" val="78"/>
      </iconSet>
    </cfRule>
  </conditionalFormatting>
  <conditionalFormatting sqref="J25">
    <cfRule type="iconSet" priority="40">
      <iconSet showValue="0">
        <cfvo type="percent" val="0"/>
        <cfvo type="num" val="69"/>
        <cfvo type="num" val="78"/>
      </iconSet>
    </cfRule>
    <cfRule type="iconSet" priority="39">
      <iconSet showValue="0">
        <cfvo type="percent" val="0"/>
        <cfvo type="num" val="69"/>
        <cfvo type="num" val="78"/>
      </iconSet>
    </cfRule>
  </conditionalFormatting>
  <conditionalFormatting sqref="J26">
    <cfRule type="iconSet" priority="60">
      <iconSet showValue="0">
        <cfvo type="percent" val="0"/>
        <cfvo type="num" val="69"/>
        <cfvo type="num" val="78"/>
      </iconSet>
    </cfRule>
    <cfRule type="iconSet" priority="59">
      <iconSet showValue="0">
        <cfvo type="percent" val="0"/>
        <cfvo type="num" val="69"/>
        <cfvo type="num" val="78"/>
      </iconSet>
    </cfRule>
  </conditionalFormatting>
  <conditionalFormatting sqref="J27">
    <cfRule type="iconSet" priority="75">
      <iconSet showValue="0">
        <cfvo type="percent" val="0"/>
        <cfvo type="num" val="69"/>
        <cfvo type="num" val="78"/>
      </iconSet>
    </cfRule>
    <cfRule type="iconSet" priority="76">
      <iconSet showValue="0">
        <cfvo type="percent" val="0"/>
        <cfvo type="num" val="69"/>
        <cfvo type="num" val="78"/>
      </iconSet>
    </cfRule>
  </conditionalFormatting>
  <conditionalFormatting sqref="J28">
    <cfRule type="iconSet" priority="203">
      <iconSet showValue="0">
        <cfvo type="percent" val="0"/>
        <cfvo type="num" val="70"/>
        <cfvo type="num" val="75"/>
      </iconSet>
    </cfRule>
  </conditionalFormatting>
  <conditionalFormatting sqref="J29">
    <cfRule type="iconSet" priority="119">
      <iconSet showValue="0">
        <cfvo type="percent" val="0"/>
        <cfvo type="num" val="70"/>
        <cfvo type="num" val="75"/>
      </iconSet>
    </cfRule>
  </conditionalFormatting>
  <conditionalFormatting sqref="J31">
    <cfRule type="iconSet" priority="168">
      <iconSet showValue="0">
        <cfvo type="percent" val="0"/>
        <cfvo type="num" val="50"/>
        <cfvo type="num" val="50"/>
      </iconSet>
    </cfRule>
  </conditionalFormatting>
  <conditionalFormatting sqref="J32">
    <cfRule type="iconSet" priority="31">
      <iconSet showValue="0">
        <cfvo type="percent" val="0"/>
        <cfvo type="num" val="69"/>
        <cfvo type="num" val="78"/>
      </iconSet>
    </cfRule>
    <cfRule type="iconSet" priority="32">
      <iconSet showValue="0">
        <cfvo type="percent" val="0"/>
        <cfvo type="num" val="69"/>
        <cfvo type="num" val="78"/>
      </iconSet>
    </cfRule>
  </conditionalFormatting>
  <conditionalFormatting sqref="J34">
    <cfRule type="iconSet" priority="94">
      <iconSet showValue="0">
        <cfvo type="percent" val="0"/>
        <cfvo type="num" val="69"/>
        <cfvo type="num" val="78"/>
      </iconSet>
    </cfRule>
    <cfRule type="iconSet" priority="93">
      <iconSet showValue="0">
        <cfvo type="percent" val="0"/>
        <cfvo type="num" val="69"/>
        <cfvo type="num" val="78"/>
      </iconSet>
    </cfRule>
  </conditionalFormatting>
  <conditionalFormatting sqref="L11:L12">
    <cfRule type="iconSet" priority="182">
      <iconSet showValue="0">
        <cfvo type="percent" val="0"/>
        <cfvo type="num" val="70"/>
        <cfvo type="num" val="75"/>
      </iconSet>
    </cfRule>
  </conditionalFormatting>
  <conditionalFormatting sqref="L15">
    <cfRule type="iconSet" priority="134">
      <iconSet showValue="0">
        <cfvo type="percent" val="0"/>
        <cfvo type="num" val="50"/>
        <cfvo type="num" val="50"/>
      </iconSet>
    </cfRule>
  </conditionalFormatting>
  <conditionalFormatting sqref="L16">
    <cfRule type="iconSet" priority="140">
      <iconSet showValue="0">
        <cfvo type="percent" val="0"/>
        <cfvo type="num" val="50"/>
        <cfvo type="num" val="50"/>
      </iconSet>
    </cfRule>
  </conditionalFormatting>
  <conditionalFormatting sqref="L17">
    <cfRule type="iconSet" priority="10">
      <iconSet showValue="0">
        <cfvo type="percent" val="0"/>
        <cfvo type="num" val="70"/>
        <cfvo type="num" val="75"/>
      </iconSet>
    </cfRule>
  </conditionalFormatting>
  <conditionalFormatting sqref="L18">
    <cfRule type="iconSet" priority="149">
      <iconSet showValue="0">
        <cfvo type="percent" val="0"/>
        <cfvo type="num" val="50"/>
        <cfvo type="num" val="50"/>
      </iconSet>
    </cfRule>
  </conditionalFormatting>
  <conditionalFormatting sqref="L20">
    <cfRule type="iconSet" priority="332">
      <iconSet showValue="0">
        <cfvo type="percent" val="0"/>
        <cfvo type="num" val="65"/>
        <cfvo type="num" val="75"/>
      </iconSet>
    </cfRule>
  </conditionalFormatting>
  <conditionalFormatting sqref="L21">
    <cfRule type="iconSet" priority="25">
      <iconSet showValue="0">
        <cfvo type="percent" val="0"/>
        <cfvo type="num" val="70"/>
        <cfvo type="num" val="75"/>
      </iconSet>
    </cfRule>
  </conditionalFormatting>
  <conditionalFormatting sqref="L22">
    <cfRule type="iconSet" priority="24">
      <iconSet showValue="0">
        <cfvo type="percent" val="0"/>
        <cfvo type="num" val="65"/>
        <cfvo type="num" val="75"/>
      </iconSet>
    </cfRule>
  </conditionalFormatting>
  <conditionalFormatting sqref="L23">
    <cfRule type="iconSet" priority="327">
      <iconSet showValue="0">
        <cfvo type="percent" val="0"/>
        <cfvo type="num" val="69"/>
        <cfvo type="num" val="78"/>
      </iconSet>
    </cfRule>
    <cfRule type="iconSet" priority="328">
      <iconSet showValue="0">
        <cfvo type="percent" val="0"/>
        <cfvo type="num" val="69"/>
        <cfvo type="num" val="78"/>
      </iconSet>
    </cfRule>
  </conditionalFormatting>
  <conditionalFormatting sqref="L25">
    <cfRule type="iconSet" priority="56">
      <iconSet showValue="0">
        <cfvo type="percent" val="0"/>
        <cfvo type="num" val="69"/>
        <cfvo type="num" val="78"/>
      </iconSet>
    </cfRule>
    <cfRule type="iconSet" priority="55">
      <iconSet showValue="0">
        <cfvo type="percent" val="0"/>
        <cfvo type="num" val="69"/>
        <cfvo type="num" val="78"/>
      </iconSet>
    </cfRule>
  </conditionalFormatting>
  <conditionalFormatting sqref="L26">
    <cfRule type="iconSet" priority="226">
      <iconSet showValue="0">
        <cfvo type="percent" val="0"/>
        <cfvo type="num" val="50"/>
        <cfvo type="num" val="50"/>
      </iconSet>
    </cfRule>
  </conditionalFormatting>
  <conditionalFormatting sqref="L27">
    <cfRule type="iconSet" priority="42">
      <iconSet showValue="0">
        <cfvo type="percent" val="0"/>
        <cfvo type="num" val="69"/>
        <cfvo type="num" val="78"/>
      </iconSet>
    </cfRule>
    <cfRule type="iconSet" priority="41">
      <iconSet showValue="0">
        <cfvo type="percent" val="0"/>
        <cfvo type="num" val="69"/>
        <cfvo type="num" val="78"/>
      </iconSet>
    </cfRule>
  </conditionalFormatting>
  <conditionalFormatting sqref="L28">
    <cfRule type="iconSet" priority="202">
      <iconSet showValue="0">
        <cfvo type="percent" val="0"/>
        <cfvo type="num" val="70"/>
        <cfvo type="num" val="75"/>
      </iconSet>
    </cfRule>
  </conditionalFormatting>
  <conditionalFormatting sqref="L29">
    <cfRule type="iconSet" priority="118">
      <iconSet showValue="0">
        <cfvo type="percent" val="0"/>
        <cfvo type="num" val="70"/>
        <cfvo type="num" val="75"/>
      </iconSet>
    </cfRule>
  </conditionalFormatting>
  <conditionalFormatting sqref="L31:L32">
    <cfRule type="iconSet" priority="164">
      <iconSet showValue="0">
        <cfvo type="percent" val="0"/>
        <cfvo type="num" val="69"/>
        <cfvo type="num" val="78"/>
      </iconSet>
    </cfRule>
    <cfRule type="iconSet" priority="163">
      <iconSet showValue="0">
        <cfvo type="percent" val="0"/>
        <cfvo type="num" val="69"/>
        <cfvo type="num" val="78"/>
      </iconSet>
    </cfRule>
  </conditionalFormatting>
  <conditionalFormatting sqref="L34">
    <cfRule type="iconSet" priority="91">
      <iconSet showValue="0">
        <cfvo type="percent" val="0"/>
        <cfvo type="num" val="69"/>
        <cfvo type="num" val="78"/>
      </iconSet>
    </cfRule>
    <cfRule type="iconSet" priority="92">
      <iconSet showValue="0">
        <cfvo type="percent" val="0"/>
        <cfvo type="num" val="69"/>
        <cfvo type="num" val="78"/>
      </iconSet>
    </cfRule>
  </conditionalFormatting>
  <conditionalFormatting sqref="N11:N12">
    <cfRule type="iconSet" priority="189">
      <iconSet showValue="0">
        <cfvo type="percent" val="0"/>
        <cfvo type="num" val="69"/>
        <cfvo type="num" val="78"/>
      </iconSet>
    </cfRule>
    <cfRule type="iconSet" priority="188">
      <iconSet showValue="0">
        <cfvo type="percent" val="0"/>
        <cfvo type="num" val="69"/>
        <cfvo type="num" val="78"/>
      </iconSet>
    </cfRule>
  </conditionalFormatting>
  <conditionalFormatting sqref="N13">
    <cfRule type="iconSet" priority="187">
      <iconSet showValue="0">
        <cfvo type="percent" val="0"/>
        <cfvo type="num" val="67"/>
        <cfvo type="num" val="75"/>
      </iconSet>
    </cfRule>
  </conditionalFormatting>
  <conditionalFormatting sqref="N15">
    <cfRule type="iconSet" priority="133">
      <iconSet showValue="0">
        <cfvo type="percent" val="0"/>
        <cfvo type="num" val="50"/>
        <cfvo type="num" val="50"/>
      </iconSet>
    </cfRule>
  </conditionalFormatting>
  <conditionalFormatting sqref="N16">
    <cfRule type="iconSet" priority="139">
      <iconSet showValue="0">
        <cfvo type="percent" val="0"/>
        <cfvo type="num" val="50"/>
        <cfvo type="num" val="50"/>
      </iconSet>
    </cfRule>
  </conditionalFormatting>
  <conditionalFormatting sqref="N17">
    <cfRule type="iconSet" priority="9">
      <iconSet showValue="0">
        <cfvo type="percent" val="0"/>
        <cfvo type="num" val="70"/>
        <cfvo type="num" val="75"/>
      </iconSet>
    </cfRule>
  </conditionalFormatting>
  <conditionalFormatting sqref="N20:N21">
    <cfRule type="iconSet" priority="320">
      <iconSet showValue="0">
        <cfvo type="percent" val="0"/>
        <cfvo type="num" val="65"/>
        <cfvo type="num" val="75"/>
      </iconSet>
    </cfRule>
  </conditionalFormatting>
  <conditionalFormatting sqref="N22:N23">
    <cfRule type="iconSet" priority="315">
      <iconSet showValue="0">
        <cfvo type="percent" val="0"/>
        <cfvo type="num" val="69"/>
        <cfvo type="num" val="78"/>
      </iconSet>
    </cfRule>
    <cfRule type="iconSet" priority="316">
      <iconSet showValue="0">
        <cfvo type="percent" val="0"/>
        <cfvo type="num" val="69"/>
        <cfvo type="num" val="78"/>
      </iconSet>
    </cfRule>
  </conditionalFormatting>
  <conditionalFormatting sqref="N25">
    <cfRule type="iconSet" priority="53">
      <iconSet showValue="0">
        <cfvo type="percent" val="0"/>
        <cfvo type="num" val="69"/>
        <cfvo type="num" val="78"/>
      </iconSet>
    </cfRule>
    <cfRule type="iconSet" priority="54">
      <iconSet showValue="0">
        <cfvo type="percent" val="0"/>
        <cfvo type="num" val="69"/>
        <cfvo type="num" val="78"/>
      </iconSet>
    </cfRule>
  </conditionalFormatting>
  <conditionalFormatting sqref="N26">
    <cfRule type="iconSet" priority="225">
      <iconSet showValue="0">
        <cfvo type="percent" val="0"/>
        <cfvo type="num" val="50"/>
        <cfvo type="num" val="50"/>
      </iconSet>
    </cfRule>
  </conditionalFormatting>
  <conditionalFormatting sqref="N27">
    <cfRule type="iconSet" priority="43">
      <iconSet showValue="0">
        <cfvo type="percent" val="0"/>
        <cfvo type="num" val="69"/>
        <cfvo type="num" val="78"/>
      </iconSet>
    </cfRule>
    <cfRule type="iconSet" priority="44">
      <iconSet showValue="0">
        <cfvo type="percent" val="0"/>
        <cfvo type="num" val="69"/>
        <cfvo type="num" val="78"/>
      </iconSet>
    </cfRule>
  </conditionalFormatting>
  <conditionalFormatting sqref="N28">
    <cfRule type="iconSet" priority="201">
      <iconSet showValue="0">
        <cfvo type="percent" val="0"/>
        <cfvo type="num" val="50"/>
        <cfvo type="num" val="50"/>
      </iconSet>
    </cfRule>
  </conditionalFormatting>
  <conditionalFormatting sqref="N29">
    <cfRule type="iconSet" priority="48">
      <iconSet showValue="0">
        <cfvo type="percent" val="0"/>
        <cfvo type="num" val="69"/>
        <cfvo type="num" val="78"/>
      </iconSet>
    </cfRule>
    <cfRule type="iconSet" priority="47">
      <iconSet showValue="0">
        <cfvo type="percent" val="0"/>
        <cfvo type="num" val="69"/>
        <cfvo type="num" val="78"/>
      </iconSet>
    </cfRule>
  </conditionalFormatting>
  <conditionalFormatting sqref="N31">
    <cfRule type="iconSet" priority="166">
      <iconSet showValue="0">
        <cfvo type="percent" val="0"/>
        <cfvo type="num" val="69"/>
        <cfvo type="num" val="78"/>
      </iconSet>
    </cfRule>
    <cfRule type="iconSet" priority="165">
      <iconSet showValue="0">
        <cfvo type="percent" val="0"/>
        <cfvo type="num" val="69"/>
        <cfvo type="num" val="78"/>
      </iconSet>
    </cfRule>
  </conditionalFormatting>
  <conditionalFormatting sqref="N32">
    <cfRule type="iconSet" priority="29">
      <iconSet showValue="0">
        <cfvo type="percent" val="0"/>
        <cfvo type="num" val="69"/>
        <cfvo type="num" val="78"/>
      </iconSet>
    </cfRule>
    <cfRule type="iconSet" priority="30">
      <iconSet showValue="0">
        <cfvo type="percent" val="0"/>
        <cfvo type="num" val="69"/>
        <cfvo type="num" val="78"/>
      </iconSet>
    </cfRule>
  </conditionalFormatting>
  <conditionalFormatting sqref="N34">
    <cfRule type="iconSet" priority="90">
      <iconSet showValue="0">
        <cfvo type="percent" val="0"/>
        <cfvo type="num" val="69"/>
        <cfvo type="num" val="78"/>
      </iconSet>
    </cfRule>
    <cfRule type="iconSet" priority="89">
      <iconSet showValue="0">
        <cfvo type="percent" val="0"/>
        <cfvo type="num" val="69"/>
        <cfvo type="num" val="78"/>
      </iconSet>
    </cfRule>
  </conditionalFormatting>
  <conditionalFormatting sqref="P15">
    <cfRule type="iconSet" priority="132">
      <iconSet showValue="0">
        <cfvo type="percent" val="0"/>
        <cfvo type="num" val="50"/>
        <cfvo type="num" val="50"/>
      </iconSet>
    </cfRule>
  </conditionalFormatting>
  <conditionalFormatting sqref="P16">
    <cfRule type="iconSet" priority="138">
      <iconSet showValue="0">
        <cfvo type="percent" val="0"/>
        <cfvo type="num" val="50"/>
        <cfvo type="num" val="50"/>
      </iconSet>
    </cfRule>
  </conditionalFormatting>
  <conditionalFormatting sqref="P17">
    <cfRule type="iconSet" priority="8">
      <iconSet showValue="0">
        <cfvo type="percent" val="0"/>
        <cfvo type="num" val="70"/>
        <cfvo type="num" val="75"/>
      </iconSet>
    </cfRule>
  </conditionalFormatting>
  <conditionalFormatting sqref="P18">
    <cfRule type="iconSet" priority="148">
      <iconSet showValue="0">
        <cfvo type="percent" val="0"/>
        <cfvo type="num" val="50"/>
        <cfvo type="num" val="50"/>
      </iconSet>
    </cfRule>
  </conditionalFormatting>
  <conditionalFormatting sqref="P20">
    <cfRule type="iconSet" priority="311">
      <iconSet showValue="0">
        <cfvo type="percent" val="0"/>
        <cfvo type="num" val="65"/>
        <cfvo type="num" val="75"/>
      </iconSet>
    </cfRule>
  </conditionalFormatting>
  <conditionalFormatting sqref="P21:P23">
    <cfRule type="iconSet" priority="306">
      <iconSet showValue="0">
        <cfvo type="percent" val="0"/>
        <cfvo type="num" val="69"/>
        <cfvo type="num" val="78"/>
      </iconSet>
    </cfRule>
    <cfRule type="iconSet" priority="307">
      <iconSet showValue="0">
        <cfvo type="percent" val="0"/>
        <cfvo type="num" val="69"/>
        <cfvo type="num" val="78"/>
      </iconSet>
    </cfRule>
  </conditionalFormatting>
  <conditionalFormatting sqref="P25:P29">
    <cfRule type="iconSet" priority="52">
      <iconSet showValue="0">
        <cfvo type="percent" val="0"/>
        <cfvo type="num" val="69"/>
        <cfvo type="num" val="78"/>
      </iconSet>
    </cfRule>
    <cfRule type="iconSet" priority="51">
      <iconSet showValue="0">
        <cfvo type="percent" val="0"/>
        <cfvo type="num" val="69"/>
        <cfvo type="num" val="78"/>
      </iconSet>
    </cfRule>
  </conditionalFormatting>
  <conditionalFormatting sqref="P31:P32">
    <cfRule type="iconSet" priority="167">
      <iconSet showValue="0">
        <cfvo type="percent" val="0"/>
        <cfvo type="num" val="50"/>
        <cfvo type="num" val="50"/>
      </iconSet>
    </cfRule>
  </conditionalFormatting>
  <conditionalFormatting sqref="P34">
    <cfRule type="iconSet" priority="88">
      <iconSet showValue="0">
        <cfvo type="percent" val="0"/>
        <cfvo type="num" val="69"/>
        <cfvo type="num" val="78"/>
      </iconSet>
    </cfRule>
    <cfRule type="iconSet" priority="87">
      <iconSet showValue="0">
        <cfvo type="percent" val="0"/>
        <cfvo type="num" val="69"/>
        <cfvo type="num" val="78"/>
      </iconSet>
    </cfRule>
  </conditionalFormatting>
  <conditionalFormatting sqref="Q20 H20">
    <cfRule type="iconSet" priority="511">
      <iconSet showValue="0">
        <cfvo type="percent" val="0"/>
        <cfvo type="num" val="65"/>
        <cfvo type="num" val="75"/>
      </iconSet>
    </cfRule>
  </conditionalFormatting>
  <conditionalFormatting sqref="R17">
    <cfRule type="iconSet" priority="7">
      <iconSet showValue="0">
        <cfvo type="percent" val="0"/>
        <cfvo type="num" val="70"/>
        <cfvo type="num" val="75"/>
      </iconSet>
    </cfRule>
  </conditionalFormatting>
  <conditionalFormatting sqref="R18">
    <cfRule type="iconSet" priority="147">
      <iconSet showValue="0">
        <cfvo type="percent" val="0"/>
        <cfvo type="num" val="50"/>
        <cfvo type="num" val="50"/>
      </iconSet>
    </cfRule>
  </conditionalFormatting>
  <conditionalFormatting sqref="R20">
    <cfRule type="iconSet" priority="302">
      <iconSet showValue="0">
        <cfvo type="percent" val="0"/>
        <cfvo type="num" val="70"/>
        <cfvo type="num" val="75"/>
      </iconSet>
    </cfRule>
  </conditionalFormatting>
  <conditionalFormatting sqref="R21">
    <cfRule type="iconSet" priority="300">
      <iconSet showValue="0">
        <cfvo type="percent" val="0"/>
        <cfvo type="num" val="50"/>
        <cfvo type="num" val="50"/>
      </iconSet>
    </cfRule>
  </conditionalFormatting>
  <conditionalFormatting sqref="R22">
    <cfRule type="iconSet" priority="301">
      <iconSet showValue="0">
        <cfvo type="percent" val="0"/>
        <cfvo type="num" val="70"/>
        <cfvo type="num" val="75"/>
      </iconSet>
    </cfRule>
  </conditionalFormatting>
  <conditionalFormatting sqref="R23">
    <cfRule type="iconSet" priority="299">
      <iconSet showValue="0">
        <cfvo type="percent" val="0"/>
        <cfvo type="num" val="69"/>
        <cfvo type="num" val="78"/>
      </iconSet>
    </cfRule>
    <cfRule type="iconSet" priority="298">
      <iconSet showValue="0">
        <cfvo type="percent" val="0"/>
        <cfvo type="num" val="69"/>
        <cfvo type="num" val="78"/>
      </iconSet>
    </cfRule>
  </conditionalFormatting>
  <conditionalFormatting sqref="R25">
    <cfRule type="iconSet" priority="362">
      <iconSet showValue="0">
        <cfvo type="percent" val="0"/>
        <cfvo type="num" val="50"/>
        <cfvo type="num" val="50"/>
      </iconSet>
    </cfRule>
  </conditionalFormatting>
  <conditionalFormatting sqref="R26">
    <cfRule type="iconSet" priority="222">
      <iconSet showValue="0">
        <cfvo type="percent" val="0"/>
        <cfvo type="num" val="50"/>
        <cfvo type="num" val="50"/>
      </iconSet>
    </cfRule>
  </conditionalFormatting>
  <conditionalFormatting sqref="R27:R29">
    <cfRule type="iconSet" priority="50">
      <iconSet showValue="0">
        <cfvo type="percent" val="0"/>
        <cfvo type="num" val="69"/>
        <cfvo type="num" val="78"/>
      </iconSet>
    </cfRule>
    <cfRule type="iconSet" priority="49">
      <iconSet showValue="0">
        <cfvo type="percent" val="0"/>
        <cfvo type="num" val="69"/>
        <cfvo type="num" val="78"/>
      </iconSet>
    </cfRule>
  </conditionalFormatting>
  <conditionalFormatting sqref="R31:R32">
    <cfRule type="iconSet" priority="162">
      <iconSet showValue="0">
        <cfvo type="percent" val="0"/>
        <cfvo type="num" val="50"/>
        <cfvo type="num" val="50"/>
      </iconSet>
    </cfRule>
  </conditionalFormatting>
  <conditionalFormatting sqref="R34">
    <cfRule type="iconSet" priority="2165">
      <iconSet showValue="0">
        <cfvo type="percent" val="0"/>
        <cfvo type="num" val="50"/>
        <cfvo type="num" val="100"/>
      </iconSet>
    </cfRule>
  </conditionalFormatting>
  <conditionalFormatting sqref="T11:T12">
    <cfRule type="iconSet" priority="190">
      <iconSet showValue="0">
        <cfvo type="percent" val="0"/>
        <cfvo type="num" val="69"/>
        <cfvo type="num" val="78"/>
      </iconSet>
    </cfRule>
    <cfRule type="iconSet" priority="191">
      <iconSet showValue="0">
        <cfvo type="percent" val="0"/>
        <cfvo type="num" val="69"/>
        <cfvo type="num" val="78"/>
      </iconSet>
    </cfRule>
  </conditionalFormatting>
  <conditionalFormatting sqref="T17">
    <cfRule type="iconSet" priority="6">
      <iconSet showValue="0">
        <cfvo type="percent" val="0"/>
        <cfvo type="num" val="70"/>
        <cfvo type="num" val="75"/>
      </iconSet>
    </cfRule>
  </conditionalFormatting>
  <conditionalFormatting sqref="T18">
    <cfRule type="iconSet" priority="146">
      <iconSet showValue="0">
        <cfvo type="percent" val="0"/>
        <cfvo type="num" val="50"/>
        <cfvo type="num" val="50"/>
      </iconSet>
    </cfRule>
  </conditionalFormatting>
  <conditionalFormatting sqref="T20">
    <cfRule type="iconSet" priority="247">
      <iconSet showValue="0">
        <cfvo type="percent" val="0"/>
        <cfvo type="num" val="70"/>
        <cfvo type="num" val="75"/>
      </iconSet>
    </cfRule>
  </conditionalFormatting>
  <conditionalFormatting sqref="T21">
    <cfRule type="iconSet" priority="250">
      <iconSet showValue="0">
        <cfvo type="percent" val="0"/>
        <cfvo type="num" val="69"/>
        <cfvo type="num" val="78"/>
      </iconSet>
    </cfRule>
    <cfRule type="iconSet" priority="251">
      <iconSet showValue="0">
        <cfvo type="percent" val="0"/>
        <cfvo type="num" val="69"/>
        <cfvo type="num" val="78"/>
      </iconSet>
    </cfRule>
  </conditionalFormatting>
  <conditionalFormatting sqref="T22">
    <cfRule type="iconSet" priority="249">
      <iconSet showValue="0">
        <cfvo type="percent" val="0"/>
        <cfvo type="num" val="69"/>
        <cfvo type="num" val="78"/>
      </iconSet>
    </cfRule>
    <cfRule type="iconSet" priority="248">
      <iconSet showValue="0">
        <cfvo type="percent" val="0"/>
        <cfvo type="num" val="69"/>
        <cfvo type="num" val="78"/>
      </iconSet>
    </cfRule>
  </conditionalFormatting>
  <conditionalFormatting sqref="T23">
    <cfRule type="iconSet" priority="246">
      <iconSet showValue="0">
        <cfvo type="percent" val="0"/>
        <cfvo type="num" val="70"/>
        <cfvo type="num" val="75"/>
      </iconSet>
    </cfRule>
  </conditionalFormatting>
  <conditionalFormatting sqref="T25:T26">
    <cfRule type="iconSet" priority="361">
      <iconSet showValue="0">
        <cfvo type="percent" val="0"/>
        <cfvo type="num" val="69"/>
        <cfvo type="num" val="78"/>
      </iconSet>
    </cfRule>
    <cfRule type="iconSet" priority="360">
      <iconSet showValue="0">
        <cfvo type="percent" val="0"/>
        <cfvo type="num" val="69"/>
        <cfvo type="num" val="78"/>
      </iconSet>
    </cfRule>
  </conditionalFormatting>
  <conditionalFormatting sqref="T27">
    <cfRule type="iconSet" priority="211">
      <iconSet showValue="0">
        <cfvo type="percent" val="0"/>
        <cfvo type="num" val="69"/>
        <cfvo type="num" val="78"/>
      </iconSet>
    </cfRule>
    <cfRule type="iconSet" priority="212">
      <iconSet showValue="0">
        <cfvo type="percent" val="0"/>
        <cfvo type="num" val="69"/>
        <cfvo type="num" val="78"/>
      </iconSet>
    </cfRule>
  </conditionalFormatting>
  <conditionalFormatting sqref="T28">
    <cfRule type="iconSet" priority="199">
      <iconSet showValue="0">
        <cfvo type="percent" val="0"/>
        <cfvo type="num" val="50"/>
        <cfvo type="num" val="50"/>
      </iconSet>
    </cfRule>
  </conditionalFormatting>
  <conditionalFormatting sqref="T29">
    <cfRule type="iconSet" priority="123">
      <iconSet showValue="0">
        <cfvo type="percent" val="0"/>
        <cfvo type="num" val="69"/>
        <cfvo type="num" val="78"/>
      </iconSet>
    </cfRule>
    <cfRule type="iconSet" priority="122">
      <iconSet showValue="0">
        <cfvo type="percent" val="0"/>
        <cfvo type="num" val="69"/>
        <cfvo type="num" val="78"/>
      </iconSet>
    </cfRule>
  </conditionalFormatting>
  <conditionalFormatting sqref="T31">
    <cfRule type="iconSet" priority="160">
      <iconSet showValue="0">
        <cfvo type="percent" val="0"/>
        <cfvo type="num" val="69"/>
        <cfvo type="num" val="78"/>
      </iconSet>
    </cfRule>
    <cfRule type="iconSet" priority="161">
      <iconSet showValue="0">
        <cfvo type="percent" val="0"/>
        <cfvo type="num" val="69"/>
        <cfvo type="num" val="78"/>
      </iconSet>
    </cfRule>
  </conditionalFormatting>
  <conditionalFormatting sqref="T32">
    <cfRule type="iconSet" priority="2156">
      <iconSet showValue="0">
        <cfvo type="percent" val="0"/>
        <cfvo type="num" val="50"/>
        <cfvo type="num" val="100"/>
      </iconSet>
    </cfRule>
  </conditionalFormatting>
  <conditionalFormatting sqref="T34">
    <cfRule type="iconSet" priority="2157">
      <iconSet showValue="0">
        <cfvo type="percent" val="0"/>
        <cfvo type="num" val="100"/>
        <cfvo type="num" val="100"/>
      </iconSet>
    </cfRule>
    <cfRule type="iconSet" priority="2158">
      <iconSet>
        <cfvo type="percent" val="0"/>
        <cfvo type="percent" val="33"/>
        <cfvo type="percent" val="67"/>
      </iconSet>
    </cfRule>
  </conditionalFormatting>
  <conditionalFormatting sqref="V17">
    <cfRule type="iconSet" priority="14">
      <iconSet showValue="0">
        <cfvo type="percent" val="0"/>
        <cfvo type="num" val="69"/>
        <cfvo type="num" val="78"/>
      </iconSet>
    </cfRule>
    <cfRule type="iconSet" priority="15">
      <iconSet showValue="0">
        <cfvo type="percent" val="0"/>
        <cfvo type="num" val="69"/>
        <cfvo type="num" val="78"/>
      </iconSet>
    </cfRule>
  </conditionalFormatting>
  <conditionalFormatting sqref="V18">
    <cfRule type="iconSet" priority="145">
      <iconSet showValue="0">
        <cfvo type="percent" val="0"/>
        <cfvo type="num" val="50"/>
        <cfvo type="num" val="50"/>
      </iconSet>
    </cfRule>
  </conditionalFormatting>
  <conditionalFormatting sqref="V20">
    <cfRule type="iconSet" priority="260">
      <iconSet showValue="0">
        <cfvo type="percent" val="0"/>
        <cfvo type="num" val="70"/>
        <cfvo type="num" val="75"/>
      </iconSet>
    </cfRule>
  </conditionalFormatting>
  <conditionalFormatting sqref="V21">
    <cfRule type="iconSet" priority="259">
      <iconSet showValue="0">
        <cfvo type="percent" val="0"/>
        <cfvo type="num" val="50"/>
        <cfvo type="num" val="50"/>
      </iconSet>
    </cfRule>
  </conditionalFormatting>
  <conditionalFormatting sqref="V22">
    <cfRule type="iconSet" priority="261">
      <iconSet showValue="0">
        <cfvo type="percent" val="0"/>
        <cfvo type="num" val="69"/>
        <cfvo type="num" val="78"/>
      </iconSet>
    </cfRule>
    <cfRule type="iconSet" priority="262">
      <iconSet showValue="0">
        <cfvo type="percent" val="0"/>
        <cfvo type="num" val="69"/>
        <cfvo type="num" val="78"/>
      </iconSet>
    </cfRule>
  </conditionalFormatting>
  <conditionalFormatting sqref="V23">
    <cfRule type="iconSet" priority="264">
      <iconSet showValue="0">
        <cfvo type="percent" val="0"/>
        <cfvo type="num" val="69"/>
        <cfvo type="num" val="78"/>
      </iconSet>
    </cfRule>
    <cfRule type="iconSet" priority="263">
      <iconSet showValue="0">
        <cfvo type="percent" val="0"/>
        <cfvo type="num" val="69"/>
        <cfvo type="num" val="78"/>
      </iconSet>
    </cfRule>
  </conditionalFormatting>
  <conditionalFormatting sqref="V25:V26">
    <cfRule type="iconSet" priority="359">
      <iconSet showValue="0">
        <cfvo type="percent" val="0"/>
        <cfvo type="num" val="50"/>
        <cfvo type="num" val="50"/>
      </iconSet>
    </cfRule>
  </conditionalFormatting>
  <conditionalFormatting sqref="V27:V28">
    <cfRule type="iconSet" priority="207">
      <iconSet showValue="0">
        <cfvo type="percent" val="0"/>
        <cfvo type="num" val="70"/>
        <cfvo type="num" val="75"/>
      </iconSet>
    </cfRule>
  </conditionalFormatting>
  <conditionalFormatting sqref="V29">
    <cfRule type="iconSet" priority="115">
      <iconSet showValue="0">
        <cfvo type="percent" val="0"/>
        <cfvo type="num" val="70"/>
        <cfvo type="num" val="75"/>
      </iconSet>
    </cfRule>
  </conditionalFormatting>
  <conditionalFormatting sqref="V31">
    <cfRule type="iconSet" priority="159">
      <iconSet showValue="0">
        <cfvo type="percent" val="0"/>
        <cfvo type="num" val="69"/>
        <cfvo type="num" val="78"/>
      </iconSet>
    </cfRule>
    <cfRule type="iconSet" priority="158">
      <iconSet showValue="0">
        <cfvo type="percent" val="0"/>
        <cfvo type="num" val="69"/>
        <cfvo type="num" val="78"/>
      </iconSet>
    </cfRule>
  </conditionalFormatting>
  <conditionalFormatting sqref="V32">
    <cfRule type="iconSet" priority="26">
      <iconSet showValue="0">
        <cfvo type="percent" val="0"/>
        <cfvo type="num" val="100"/>
        <cfvo type="num" val="100"/>
      </iconSet>
    </cfRule>
    <cfRule type="iconSet" priority="27">
      <iconSet>
        <cfvo type="percent" val="0"/>
        <cfvo type="percent" val="33"/>
        <cfvo type="percent" val="67"/>
      </iconSet>
    </cfRule>
  </conditionalFormatting>
  <conditionalFormatting sqref="V34">
    <cfRule type="iconSet" priority="97">
      <iconSet showValue="0">
        <cfvo type="percent" val="0"/>
        <cfvo type="num" val="69"/>
        <cfvo type="num" val="78"/>
      </iconSet>
    </cfRule>
    <cfRule type="iconSet" priority="98">
      <iconSet showValue="0">
        <cfvo type="percent" val="0"/>
        <cfvo type="num" val="69"/>
        <cfvo type="num" val="78"/>
      </iconSet>
    </cfRule>
  </conditionalFormatting>
  <conditionalFormatting sqref="W20">
    <cfRule type="iconSet" priority="2">
      <iconSet showValue="0">
        <cfvo type="percent" val="0"/>
        <cfvo type="num" val="65"/>
        <cfvo type="num" val="75"/>
      </iconSet>
    </cfRule>
  </conditionalFormatting>
  <conditionalFormatting sqref="X11:X12 Z11:Z12 AB11:AB12">
    <cfRule type="iconSet" priority="184">
      <iconSet showValue="0">
        <cfvo type="percent" val="0"/>
        <cfvo type="num" val="67"/>
        <cfvo type="num" val="75"/>
      </iconSet>
    </cfRule>
  </conditionalFormatting>
  <conditionalFormatting sqref="X15">
    <cfRule type="iconSet" priority="131">
      <iconSet showValue="0">
        <cfvo type="percent" val="0"/>
        <cfvo type="num" val="50"/>
        <cfvo type="num" val="50"/>
      </iconSet>
    </cfRule>
  </conditionalFormatting>
  <conditionalFormatting sqref="X16 R15:R16 T15:T16 V15:V16">
    <cfRule type="iconSet" priority="2113">
      <iconSet showValue="0">
        <cfvo type="percent" val="0"/>
        <cfvo type="num" val="77"/>
        <cfvo type="num" val="78"/>
      </iconSet>
    </cfRule>
  </conditionalFormatting>
  <conditionalFormatting sqref="X20">
    <cfRule type="iconSet" priority="289">
      <iconSet showValue="0">
        <cfvo type="percent" val="0"/>
        <cfvo type="num" val="70"/>
        <cfvo type="num" val="75"/>
      </iconSet>
    </cfRule>
  </conditionalFormatting>
  <conditionalFormatting sqref="X21">
    <cfRule type="iconSet" priority="281">
      <iconSet showValue="0">
        <cfvo type="percent" val="0"/>
        <cfvo type="num" val="69"/>
        <cfvo type="num" val="78"/>
      </iconSet>
    </cfRule>
    <cfRule type="iconSet" priority="282">
      <iconSet showValue="0">
        <cfvo type="percent" val="0"/>
        <cfvo type="num" val="69"/>
        <cfvo type="num" val="78"/>
      </iconSet>
    </cfRule>
  </conditionalFormatting>
  <conditionalFormatting sqref="X22">
    <cfRule type="iconSet" priority="286">
      <iconSet showValue="0">
        <cfvo type="percent" val="0"/>
        <cfvo type="num" val="69"/>
        <cfvo type="num" val="78"/>
      </iconSet>
    </cfRule>
    <cfRule type="iconSet" priority="285">
      <iconSet showValue="0">
        <cfvo type="percent" val="0"/>
        <cfvo type="num" val="69"/>
        <cfvo type="num" val="78"/>
      </iconSet>
    </cfRule>
  </conditionalFormatting>
  <conditionalFormatting sqref="X23">
    <cfRule type="iconSet" priority="23">
      <iconSet showValue="0">
        <cfvo type="percent" val="0"/>
        <cfvo type="num" val="70"/>
        <cfvo type="num" val="75"/>
      </iconSet>
    </cfRule>
  </conditionalFormatting>
  <conditionalFormatting sqref="X25">
    <cfRule type="iconSet" priority="357">
      <iconSet showValue="0">
        <cfvo type="percent" val="0"/>
        <cfvo type="num" val="69"/>
        <cfvo type="num" val="78"/>
      </iconSet>
    </cfRule>
    <cfRule type="iconSet" priority="358">
      <iconSet showValue="0">
        <cfvo type="percent" val="0"/>
        <cfvo type="num" val="69"/>
        <cfvo type="num" val="78"/>
      </iconSet>
    </cfRule>
  </conditionalFormatting>
  <conditionalFormatting sqref="X26">
    <cfRule type="iconSet" priority="2096">
      <iconSet showValue="0">
        <cfvo type="percent" val="0"/>
        <cfvo type="num" val="50"/>
        <cfvo type="num" val="100"/>
      </iconSet>
    </cfRule>
  </conditionalFormatting>
  <conditionalFormatting sqref="X27:X28">
    <cfRule type="iconSet" priority="210">
      <iconSet showValue="0">
        <cfvo type="percent" val="0"/>
        <cfvo type="num" val="69"/>
        <cfvo type="num" val="78"/>
      </iconSet>
    </cfRule>
    <cfRule type="iconSet" priority="209">
      <iconSet showValue="0">
        <cfvo type="percent" val="0"/>
        <cfvo type="num" val="69"/>
        <cfvo type="num" val="78"/>
      </iconSet>
    </cfRule>
  </conditionalFormatting>
  <conditionalFormatting sqref="X29">
    <cfRule type="iconSet" priority="113">
      <iconSet showValue="0">
        <cfvo type="percent" val="0"/>
        <cfvo type="num" val="69"/>
        <cfvo type="num" val="78"/>
      </iconSet>
    </cfRule>
    <cfRule type="iconSet" priority="114">
      <iconSet showValue="0">
        <cfvo type="percent" val="0"/>
        <cfvo type="num" val="69"/>
        <cfvo type="num" val="78"/>
      </iconSet>
    </cfRule>
  </conditionalFormatting>
  <conditionalFormatting sqref="X31">
    <cfRule type="iconSet" priority="156">
      <iconSet showValue="0">
        <cfvo type="percent" val="0"/>
        <cfvo type="num" val="69"/>
        <cfvo type="num" val="78"/>
      </iconSet>
    </cfRule>
    <cfRule type="iconSet" priority="157">
      <iconSet showValue="0">
        <cfvo type="percent" val="0"/>
        <cfvo type="num" val="69"/>
        <cfvo type="num" val="78"/>
      </iconSet>
    </cfRule>
  </conditionalFormatting>
  <conditionalFormatting sqref="X34">
    <cfRule type="iconSet" priority="100">
      <iconSet showValue="0">
        <cfvo type="percent" val="0"/>
        <cfvo type="num" val="50"/>
        <cfvo type="num" val="100"/>
      </iconSet>
    </cfRule>
  </conditionalFormatting>
  <conditionalFormatting sqref="Z13">
    <cfRule type="iconSet" priority="180">
      <iconSet showValue="0">
        <cfvo type="percent" val="0"/>
        <cfvo type="num" val="70"/>
        <cfvo type="num" val="75"/>
      </iconSet>
    </cfRule>
  </conditionalFormatting>
  <conditionalFormatting sqref="Z15">
    <cfRule type="iconSet" priority="130">
      <iconSet showValue="0">
        <cfvo type="percent" val="0"/>
        <cfvo type="num" val="50"/>
        <cfvo type="num" val="50"/>
      </iconSet>
    </cfRule>
  </conditionalFormatting>
  <conditionalFormatting sqref="Z16">
    <cfRule type="iconSet" priority="137">
      <iconSet showValue="0">
        <cfvo type="percent" val="0"/>
        <cfvo type="num" val="70"/>
        <cfvo type="num" val="75"/>
      </iconSet>
    </cfRule>
  </conditionalFormatting>
  <conditionalFormatting sqref="Z17 X17">
    <cfRule type="iconSet" priority="18">
      <iconSet showValue="0">
        <cfvo type="percent" val="0"/>
        <cfvo type="num" val="50"/>
        <cfvo type="num" val="50"/>
      </iconSet>
    </cfRule>
  </conditionalFormatting>
  <conditionalFormatting sqref="Z18">
    <cfRule type="iconSet" priority="144">
      <iconSet showValue="0">
        <cfvo type="percent" val="0"/>
        <cfvo type="num" val="50"/>
        <cfvo type="num" val="50"/>
      </iconSet>
    </cfRule>
  </conditionalFormatting>
  <conditionalFormatting sqref="Z20:Z21">
    <cfRule type="iconSet" priority="238">
      <iconSet showValue="0">
        <cfvo type="percent" val="0"/>
        <cfvo type="num" val="70"/>
        <cfvo type="num" val="75"/>
      </iconSet>
    </cfRule>
  </conditionalFormatting>
  <conditionalFormatting sqref="Z22">
    <cfRule type="iconSet" priority="232">
      <iconSet showValue="0">
        <cfvo type="percent" val="0"/>
        <cfvo type="num" val="69"/>
        <cfvo type="num" val="78"/>
      </iconSet>
    </cfRule>
    <cfRule type="iconSet" priority="231">
      <iconSet showValue="0">
        <cfvo type="percent" val="0"/>
        <cfvo type="num" val="69"/>
        <cfvo type="num" val="78"/>
      </iconSet>
    </cfRule>
  </conditionalFormatting>
  <conditionalFormatting sqref="Z23">
    <cfRule type="iconSet" priority="235">
      <iconSet showValue="0">
        <cfvo type="percent" val="0"/>
        <cfvo type="num" val="70"/>
        <cfvo type="num" val="75"/>
      </iconSet>
    </cfRule>
  </conditionalFormatting>
  <conditionalFormatting sqref="Z25">
    <cfRule type="iconSet" priority="355">
      <iconSet showValue="0">
        <cfvo type="percent" val="0"/>
        <cfvo type="num" val="69"/>
        <cfvo type="num" val="78"/>
      </iconSet>
    </cfRule>
    <cfRule type="iconSet" priority="356">
      <iconSet showValue="0">
        <cfvo type="percent" val="0"/>
        <cfvo type="num" val="69"/>
        <cfvo type="num" val="78"/>
      </iconSet>
    </cfRule>
  </conditionalFormatting>
  <conditionalFormatting sqref="Z27">
    <cfRule type="iconSet" priority="208">
      <iconSet showValue="0">
        <cfvo type="percent" val="0"/>
        <cfvo type="num" val="70"/>
        <cfvo type="num" val="75"/>
      </iconSet>
    </cfRule>
  </conditionalFormatting>
  <conditionalFormatting sqref="Z28">
    <cfRule type="iconSet" priority="197">
      <iconSet showValue="0">
        <cfvo type="percent" val="0"/>
        <cfvo type="num" val="69"/>
        <cfvo type="num" val="78"/>
      </iconSet>
    </cfRule>
    <cfRule type="iconSet" priority="196">
      <iconSet showValue="0">
        <cfvo type="percent" val="0"/>
        <cfvo type="num" val="69"/>
        <cfvo type="num" val="78"/>
      </iconSet>
    </cfRule>
  </conditionalFormatting>
  <conditionalFormatting sqref="Z29">
    <cfRule type="iconSet" priority="110">
      <iconSet showValue="0">
        <cfvo type="percent" val="0"/>
        <cfvo type="num" val="69"/>
        <cfvo type="num" val="78"/>
      </iconSet>
    </cfRule>
    <cfRule type="iconSet" priority="111">
      <iconSet showValue="0">
        <cfvo type="percent" val="0"/>
        <cfvo type="num" val="69"/>
        <cfvo type="num" val="78"/>
      </iconSet>
    </cfRule>
  </conditionalFormatting>
  <conditionalFormatting sqref="Z31">
    <cfRule type="iconSet" priority="154">
      <iconSet showValue="0">
        <cfvo type="percent" val="0"/>
        <cfvo type="num" val="69"/>
        <cfvo type="num" val="78"/>
      </iconSet>
    </cfRule>
    <cfRule type="iconSet" priority="155">
      <iconSet showValue="0">
        <cfvo type="percent" val="0"/>
        <cfvo type="num" val="69"/>
        <cfvo type="num" val="78"/>
      </iconSet>
    </cfRule>
  </conditionalFormatting>
  <conditionalFormatting sqref="AA20">
    <cfRule type="iconSet" priority="1">
      <iconSet showValue="0">
        <cfvo type="percent" val="0"/>
        <cfvo type="num" val="65"/>
        <cfvo type="num" val="75"/>
      </iconSet>
    </cfRule>
  </conditionalFormatting>
  <conditionalFormatting sqref="AB13 X13 V13 T13 R13 P13 L13 J13">
    <cfRule type="iconSet" priority="183">
      <iconSet showValue="0">
        <cfvo type="percent" val="0"/>
        <cfvo type="num" val="67"/>
        <cfvo type="num" val="75"/>
      </iconSet>
    </cfRule>
  </conditionalFormatting>
  <conditionalFormatting sqref="AB15">
    <cfRule type="iconSet" priority="129">
      <iconSet showValue="0">
        <cfvo type="percent" val="0"/>
        <cfvo type="num" val="67"/>
        <cfvo type="num" val="75"/>
      </iconSet>
    </cfRule>
  </conditionalFormatting>
  <conditionalFormatting sqref="AB16">
    <cfRule type="iconSet" priority="136">
      <iconSet showValue="0">
        <cfvo type="percent" val="0"/>
        <cfvo type="num" val="50"/>
        <cfvo type="num" val="50"/>
      </iconSet>
    </cfRule>
  </conditionalFormatting>
  <conditionalFormatting sqref="AB17">
    <cfRule type="iconSet" priority="13">
      <iconSet showValue="0">
        <cfvo type="percent" val="0"/>
        <cfvo type="num" val="69"/>
        <cfvo type="num" val="78"/>
      </iconSet>
    </cfRule>
    <cfRule type="iconSet" priority="12">
      <iconSet showValue="0">
        <cfvo type="percent" val="0"/>
        <cfvo type="num" val="69"/>
        <cfvo type="num" val="78"/>
      </iconSet>
    </cfRule>
  </conditionalFormatting>
  <conditionalFormatting sqref="AB18">
    <cfRule type="iconSet" priority="143">
      <iconSet showValue="0">
        <cfvo type="percent" val="0"/>
        <cfvo type="num" val="50"/>
        <cfvo type="num" val="50"/>
      </iconSet>
    </cfRule>
  </conditionalFormatting>
  <conditionalFormatting sqref="AB20">
    <cfRule type="iconSet" priority="276">
      <iconSet showValue="0">
        <cfvo type="percent" val="0"/>
        <cfvo type="num" val="70"/>
        <cfvo type="num" val="75"/>
      </iconSet>
    </cfRule>
  </conditionalFormatting>
  <conditionalFormatting sqref="AB21">
    <cfRule type="iconSet" priority="269">
      <iconSet showValue="0">
        <cfvo type="percent" val="0"/>
        <cfvo type="num" val="69"/>
        <cfvo type="num" val="78"/>
      </iconSet>
    </cfRule>
    <cfRule type="iconSet" priority="268">
      <iconSet showValue="0">
        <cfvo type="percent" val="0"/>
        <cfvo type="num" val="69"/>
        <cfvo type="num" val="78"/>
      </iconSet>
    </cfRule>
  </conditionalFormatting>
  <conditionalFormatting sqref="AB22">
    <cfRule type="iconSet" priority="267">
      <iconSet showValue="0">
        <cfvo type="percent" val="0"/>
        <cfvo type="num" val="70"/>
        <cfvo type="num" val="75"/>
      </iconSet>
    </cfRule>
  </conditionalFormatting>
  <conditionalFormatting sqref="AB23">
    <cfRule type="iconSet" priority="273">
      <iconSet showValue="0">
        <cfvo type="percent" val="0"/>
        <cfvo type="num" val="69"/>
        <cfvo type="num" val="78"/>
      </iconSet>
    </cfRule>
    <cfRule type="iconSet" priority="272">
      <iconSet showValue="0">
        <cfvo type="percent" val="0"/>
        <cfvo type="num" val="69"/>
        <cfvo type="num" val="78"/>
      </iconSet>
    </cfRule>
  </conditionalFormatting>
  <conditionalFormatting sqref="AB25">
    <cfRule type="iconSet" priority="62">
      <iconSet showValue="0">
        <cfvo type="percent" val="0"/>
        <cfvo type="num" val="69"/>
        <cfvo type="num" val="78"/>
      </iconSet>
    </cfRule>
    <cfRule type="iconSet" priority="61">
      <iconSet showValue="0">
        <cfvo type="percent" val="0"/>
        <cfvo type="num" val="69"/>
        <cfvo type="num" val="78"/>
      </iconSet>
    </cfRule>
  </conditionalFormatting>
  <conditionalFormatting sqref="AB26">
    <cfRule type="iconSet" priority="221">
      <iconSet showValue="0">
        <cfvo type="percent" val="0"/>
        <cfvo type="num" val="50"/>
        <cfvo type="num" val="50"/>
      </iconSet>
    </cfRule>
  </conditionalFormatting>
  <conditionalFormatting sqref="AB27">
    <cfRule type="iconSet" priority="63">
      <iconSet showValue="0">
        <cfvo type="percent" val="0"/>
        <cfvo type="num" val="69"/>
        <cfvo type="num" val="78"/>
      </iconSet>
    </cfRule>
    <cfRule type="iconSet" priority="64">
      <iconSet showValue="0">
        <cfvo type="percent" val="0"/>
        <cfvo type="num" val="69"/>
        <cfvo type="num" val="78"/>
      </iconSet>
    </cfRule>
  </conditionalFormatting>
  <conditionalFormatting sqref="AB28">
    <cfRule type="iconSet" priority="65">
      <iconSet showValue="0">
        <cfvo type="percent" val="0"/>
        <cfvo type="num" val="69"/>
        <cfvo type="num" val="78"/>
      </iconSet>
    </cfRule>
    <cfRule type="iconSet" priority="66">
      <iconSet showValue="0">
        <cfvo type="percent" val="0"/>
        <cfvo type="num" val="69"/>
        <cfvo type="num" val="78"/>
      </iconSet>
    </cfRule>
  </conditionalFormatting>
  <conditionalFormatting sqref="AB29">
    <cfRule type="iconSet" priority="109">
      <iconSet showValue="0">
        <cfvo type="percent" val="0"/>
        <cfvo type="num" val="70"/>
        <cfvo type="num" val="75"/>
      </iconSet>
    </cfRule>
  </conditionalFormatting>
  <conditionalFormatting sqref="AB31">
    <cfRule type="iconSet" priority="151">
      <iconSet showValue="0">
        <cfvo type="percent" val="0"/>
        <cfvo type="num" val="69"/>
        <cfvo type="num" val="78"/>
      </iconSet>
    </cfRule>
    <cfRule type="iconSet" priority="152">
      <iconSet showValue="0">
        <cfvo type="percent" val="0"/>
        <cfvo type="num" val="69"/>
        <cfvo type="num" val="78"/>
      </iconSet>
    </cfRule>
  </conditionalFormatting>
  <conditionalFormatting sqref="AB32">
    <cfRule type="iconSet" priority="28">
      <iconSet showValue="0">
        <cfvo type="percent" val="0"/>
        <cfvo type="num" val="50"/>
        <cfvo type="num" val="50"/>
      </iconSet>
    </cfRule>
  </conditionalFormatting>
  <conditionalFormatting sqref="AB34">
    <cfRule type="iconSet" priority="99">
      <iconSet showValue="0">
        <cfvo type="percent" val="0"/>
        <cfvo type="num" val="50"/>
        <cfvo type="num" val="100"/>
      </iconSet>
    </cfRule>
  </conditionalFormatting>
  <conditionalFormatting sqref="AC7">
    <cfRule type="iconSet" priority="395">
      <iconSet showValue="0">
        <cfvo type="percent" val="0"/>
        <cfvo type="num" val="50"/>
        <cfvo type="num" val="100"/>
      </iconSet>
    </cfRule>
  </conditionalFormatting>
  <conditionalFormatting sqref="AC8">
    <cfRule type="iconSet" priority="394">
      <iconSet showValue="0">
        <cfvo type="percent" val="0"/>
        <cfvo type="num" val="70"/>
        <cfvo type="num" val="75"/>
      </iconSet>
    </cfRule>
  </conditionalFormatting>
  <conditionalFormatting sqref="AC9">
    <cfRule type="iconSet" priority="393">
      <iconSet showValue="0">
        <cfvo type="percent" val="0"/>
        <cfvo type="num" val="80"/>
        <cfvo type="num" val="85"/>
      </iconSet>
    </cfRule>
  </conditionalFormatting>
  <conditionalFormatting sqref="AF15:AF18">
    <cfRule type="iconSet" priority="519">
      <iconSet showValue="0">
        <cfvo type="percent" val="0"/>
        <cfvo type="num" val="50"/>
        <cfvo type="num" val="50"/>
      </iconSet>
    </cfRule>
  </conditionalFormatting>
  <conditionalFormatting sqref="AH35 X35 Z35 AB35 AD35 AF35">
    <cfRule type="iconSet" priority="4">
      <iconSet showValue="0">
        <cfvo type="percent" val="0"/>
        <cfvo type="num" val="50"/>
        <cfvo type="num" val="100"/>
      </iconSet>
    </cfRule>
  </conditionalFormatting>
  <conditionalFormatting sqref="AJ11 AH11 AF11 AD11">
    <cfRule type="iconSet" priority="528">
      <iconSet showValue="0">
        <cfvo type="percent" val="0"/>
        <cfvo type="num" val="69"/>
        <cfvo type="num" val="78"/>
      </iconSet>
    </cfRule>
    <cfRule type="iconSet" priority="529">
      <iconSet showValue="0">
        <cfvo type="percent" val="0"/>
        <cfvo type="num" val="69"/>
        <cfvo type="num" val="78"/>
      </iconSet>
    </cfRule>
  </conditionalFormatting>
  <conditionalFormatting sqref="AJ12 AH12 AF12 AD12">
    <cfRule type="iconSet" priority="527">
      <iconSet showValue="0">
        <cfvo type="percent" val="0"/>
        <cfvo type="num" val="67"/>
        <cfvo type="num" val="75"/>
      </iconSet>
    </cfRule>
  </conditionalFormatting>
  <conditionalFormatting sqref="AJ15:AJ18 AH15:AH18 AD15:AD18 X18">
    <cfRule type="iconSet" priority="518">
      <iconSet showValue="0">
        <cfvo type="percent" val="0"/>
        <cfvo type="num" val="50"/>
        <cfvo type="num" val="50"/>
      </iconSet>
    </cfRule>
  </conditionalFormatting>
  <conditionalFormatting sqref="AJ20 AH20 AF20 AD20">
    <cfRule type="iconSet" priority="515">
      <iconSet showValue="0">
        <cfvo type="percent" val="0"/>
        <cfvo type="num" val="65"/>
        <cfvo type="num" val="75"/>
      </iconSet>
    </cfRule>
  </conditionalFormatting>
  <conditionalFormatting sqref="AJ21 AH21 AF21 AD21">
    <cfRule type="iconSet" priority="514">
      <iconSet showValue="0">
        <cfvo type="percent" val="0"/>
        <cfvo type="num" val="80"/>
        <cfvo type="num" val="85"/>
      </iconSet>
    </cfRule>
  </conditionalFormatting>
  <conditionalFormatting sqref="AJ22 AH22 AF22 AD22">
    <cfRule type="iconSet" priority="513">
      <iconSet showValue="0">
        <cfvo type="percent" val="0"/>
        <cfvo type="num" val="70"/>
        <cfvo type="num" val="75"/>
      </iconSet>
    </cfRule>
  </conditionalFormatting>
  <conditionalFormatting sqref="AJ23 AH23 AF23 AD23">
    <cfRule type="iconSet" priority="512">
      <iconSet showValue="0">
        <cfvo type="percent" val="0"/>
        <cfvo type="num" val="70"/>
        <cfvo type="num" val="75"/>
      </iconSet>
    </cfRule>
  </conditionalFormatting>
  <conditionalFormatting sqref="AJ25 AH25 AF25 AD25">
    <cfRule type="iconSet" priority="525">
      <iconSet showValue="0">
        <cfvo type="percent" val="0"/>
        <cfvo type="num" val="100"/>
        <cfvo type="num" val="100"/>
      </iconSet>
    </cfRule>
    <cfRule type="iconSet" priority="526">
      <iconSet>
        <cfvo type="percent" val="0"/>
        <cfvo type="percent" val="33"/>
        <cfvo type="percent" val="67"/>
      </iconSet>
    </cfRule>
  </conditionalFormatting>
  <conditionalFormatting sqref="AJ31:AJ32 AH31:AH32 AF31:AF32 AD31:AD32 X32 Z32">
    <cfRule type="iconSet" priority="520">
      <iconSet showValue="0">
        <cfvo type="percent" val="0"/>
        <cfvo type="num" val="100"/>
        <cfvo type="num" val="100"/>
      </iconSet>
    </cfRule>
    <cfRule type="iconSet" priority="521">
      <iconSet>
        <cfvo type="percent" val="0"/>
        <cfvo type="percent" val="33"/>
        <cfvo type="percent" val="67"/>
      </iconSet>
    </cfRule>
  </conditionalFormatting>
  <conditionalFormatting sqref="AJ34:AJ35 AH34 AF34 AD34 Z34">
    <cfRule type="iconSet" priority="516">
      <iconSet showValue="0">
        <cfvo type="percent" val="0"/>
        <cfvo type="num" val="50"/>
        <cfvo type="num" val="100"/>
      </iconSet>
    </cfRule>
    <cfRule type="iconSet" priority="517">
      <iconSet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5" scale="69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A0AA-C41B-4585-AC23-86A9B78584F9}">
  <sheetPr>
    <pageSetUpPr fitToPage="1"/>
  </sheetPr>
  <dimension ref="B1:AO37"/>
  <sheetViews>
    <sheetView showGridLines="0" topLeftCell="C25" zoomScale="70" zoomScaleNormal="70" workbookViewId="0">
      <selection activeCell="AA37" sqref="AA37:AB37"/>
    </sheetView>
  </sheetViews>
  <sheetFormatPr defaultColWidth="16.3828125" defaultRowHeight="14" x14ac:dyDescent="0.3"/>
  <cols>
    <col min="1" max="1" width="2.61328125" customWidth="1"/>
    <col min="2" max="2" width="31.84375" customWidth="1"/>
    <col min="3" max="3" width="14.84375" customWidth="1"/>
    <col min="4" max="4" width="11.3828125" customWidth="1"/>
    <col min="5" max="6" width="2.61328125" customWidth="1"/>
    <col min="7" max="7" width="8.61328125" customWidth="1"/>
    <col min="8" max="8" width="2.61328125" customWidth="1"/>
    <col min="9" max="9" width="8.61328125" customWidth="1"/>
    <col min="10" max="10" width="2.61328125" customWidth="1"/>
    <col min="11" max="11" width="8.61328125" customWidth="1"/>
    <col min="12" max="12" width="2.61328125" customWidth="1"/>
    <col min="13" max="13" width="8.61328125" customWidth="1"/>
    <col min="14" max="14" width="2.61328125" customWidth="1"/>
    <col min="15" max="15" width="8.61328125" customWidth="1"/>
    <col min="16" max="16" width="2.61328125" customWidth="1"/>
    <col min="17" max="17" width="8.61328125" customWidth="1"/>
    <col min="18" max="18" width="2.61328125" customWidth="1"/>
    <col min="19" max="19" width="8.3828125" customWidth="1"/>
    <col min="20" max="20" width="2.61328125" customWidth="1"/>
    <col min="21" max="21" width="8.15234375" customWidth="1"/>
    <col min="22" max="22" width="2.61328125" customWidth="1"/>
    <col min="23" max="23" width="8.61328125" customWidth="1"/>
    <col min="24" max="24" width="2.61328125" customWidth="1"/>
    <col min="25" max="25" width="7.15234375" customWidth="1"/>
    <col min="26" max="26" width="2.61328125" customWidth="1"/>
    <col min="27" max="27" width="8.61328125" customWidth="1"/>
    <col min="28" max="28" width="2.61328125" customWidth="1"/>
    <col min="29" max="29" width="8.61328125" customWidth="1"/>
    <col min="30" max="30" width="2.61328125" customWidth="1"/>
    <col min="31" max="31" width="8.61328125" customWidth="1"/>
    <col min="32" max="32" width="2.61328125" customWidth="1"/>
    <col min="33" max="33" width="4.84375" customWidth="1"/>
    <col min="34" max="34" width="6.3828125" customWidth="1"/>
    <col min="35" max="36" width="6.61328125" customWidth="1"/>
    <col min="37" max="37" width="16.3828125" customWidth="1"/>
  </cols>
  <sheetData>
    <row r="1" spans="2:36" ht="40.5" customHeight="1" x14ac:dyDescent="0.3">
      <c r="B1" s="443" t="s">
        <v>8</v>
      </c>
      <c r="C1" s="443"/>
      <c r="D1" s="443"/>
    </row>
    <row r="2" spans="2:36" ht="17.5" x14ac:dyDescent="0.3">
      <c r="B2" s="233" t="s">
        <v>1</v>
      </c>
      <c r="C2" s="233"/>
    </row>
    <row r="3" spans="2:36" ht="17.5" x14ac:dyDescent="0.35">
      <c r="B3" s="149"/>
      <c r="C3" s="149"/>
    </row>
    <row r="4" spans="2:36" s="37" customFormat="1" ht="18.75" customHeight="1" x14ac:dyDescent="0.25">
      <c r="B4" s="39"/>
      <c r="C4" s="39"/>
      <c r="D4" s="39"/>
      <c r="E4" s="39"/>
      <c r="F4" s="39"/>
      <c r="G4" s="438" t="s">
        <v>300</v>
      </c>
      <c r="H4" s="438"/>
      <c r="I4" s="438"/>
      <c r="J4" s="438"/>
      <c r="K4" s="438"/>
      <c r="L4" s="438"/>
      <c r="M4" s="438"/>
      <c r="N4" s="438"/>
      <c r="O4" s="438"/>
      <c r="P4" s="438"/>
      <c r="Q4" s="439" t="s">
        <v>301</v>
      </c>
      <c r="R4" s="439"/>
      <c r="S4" s="439"/>
      <c r="T4" s="439"/>
      <c r="U4" s="439"/>
      <c r="V4" s="439"/>
      <c r="W4" s="439"/>
      <c r="X4" s="439"/>
      <c r="Y4" s="439" t="s">
        <v>302</v>
      </c>
      <c r="Z4" s="439"/>
      <c r="AA4" s="439"/>
      <c r="AB4" s="439"/>
      <c r="AC4" s="439"/>
      <c r="AD4" s="439"/>
      <c r="AE4" s="439"/>
      <c r="AF4" s="439"/>
    </row>
    <row r="5" spans="2:36" s="37" customFormat="1" ht="26.25" customHeight="1" x14ac:dyDescent="0.25">
      <c r="B5" s="38" t="s">
        <v>2</v>
      </c>
      <c r="C5" s="395" t="s">
        <v>85</v>
      </c>
      <c r="D5" s="52" t="s">
        <v>86</v>
      </c>
      <c r="E5" s="448" t="s">
        <v>87</v>
      </c>
      <c r="F5" s="448"/>
      <c r="G5" s="440" t="s">
        <v>303</v>
      </c>
      <c r="H5" s="440"/>
      <c r="I5" s="445" t="s">
        <v>304</v>
      </c>
      <c r="J5" s="445"/>
      <c r="K5" s="446" t="s">
        <v>305</v>
      </c>
      <c r="L5" s="446"/>
      <c r="M5" s="445" t="s">
        <v>306</v>
      </c>
      <c r="N5" s="445"/>
      <c r="O5" s="445" t="s">
        <v>307</v>
      </c>
      <c r="P5" s="445"/>
      <c r="Q5" s="447" t="s">
        <v>308</v>
      </c>
      <c r="R5" s="447"/>
      <c r="S5" s="447" t="s">
        <v>309</v>
      </c>
      <c r="T5" s="447"/>
      <c r="U5" s="447" t="s">
        <v>310</v>
      </c>
      <c r="V5" s="447"/>
      <c r="W5" s="447" t="s">
        <v>311</v>
      </c>
      <c r="X5" s="447"/>
      <c r="Y5" s="445" t="s">
        <v>312</v>
      </c>
      <c r="Z5" s="445"/>
      <c r="AA5" s="445" t="s">
        <v>313</v>
      </c>
      <c r="AB5" s="445"/>
      <c r="AC5" s="445" t="s">
        <v>314</v>
      </c>
      <c r="AD5" s="445"/>
      <c r="AE5" s="445" t="s">
        <v>315</v>
      </c>
      <c r="AF5" s="445"/>
    </row>
    <row r="6" spans="2:36" ht="10.5" customHeight="1" x14ac:dyDescent="0.3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</row>
    <row r="7" spans="2:36" ht="20.25" customHeight="1" x14ac:dyDescent="0.3">
      <c r="B7" s="120" t="s">
        <v>10</v>
      </c>
      <c r="C7" s="120"/>
      <c r="D7" s="121" t="s">
        <v>11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3"/>
      <c r="W7" s="123"/>
      <c r="X7" s="123"/>
      <c r="Y7" s="124"/>
      <c r="Z7" s="124"/>
      <c r="AA7" s="124"/>
      <c r="AB7" s="124"/>
      <c r="AC7" s="124"/>
      <c r="AD7" s="124"/>
      <c r="AE7" s="125"/>
      <c r="AF7" s="125"/>
    </row>
    <row r="8" spans="2:36" ht="20.25" customHeight="1" x14ac:dyDescent="0.3">
      <c r="B8" s="103" t="s">
        <v>12</v>
      </c>
      <c r="C8" s="103"/>
      <c r="D8" s="96"/>
      <c r="E8" s="96"/>
      <c r="F8" s="104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4"/>
      <c r="W8" s="94"/>
      <c r="X8" s="94"/>
      <c r="Y8" s="97"/>
      <c r="Z8" s="97"/>
      <c r="AA8" s="97"/>
      <c r="AB8" s="97"/>
      <c r="AC8" s="97"/>
      <c r="AD8" s="97"/>
      <c r="AE8" s="98"/>
      <c r="AF8" s="98"/>
      <c r="AH8" s="9"/>
      <c r="AI8" s="9"/>
      <c r="AJ8" s="9"/>
    </row>
    <row r="9" spans="2:36" ht="20.25" customHeight="1" x14ac:dyDescent="0.3">
      <c r="B9" s="103" t="s">
        <v>13</v>
      </c>
      <c r="C9" s="103"/>
      <c r="D9" s="96"/>
      <c r="E9" s="96"/>
      <c r="F9" s="104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4"/>
      <c r="W9" s="94"/>
      <c r="X9" s="94"/>
      <c r="Y9" s="97"/>
      <c r="Z9" s="97"/>
      <c r="AA9" s="97"/>
      <c r="AB9" s="97"/>
      <c r="AC9" s="97"/>
      <c r="AD9" s="97"/>
      <c r="AE9" s="98"/>
      <c r="AF9" s="98"/>
    </row>
    <row r="10" spans="2:36" ht="20.25" customHeight="1" x14ac:dyDescent="0.3">
      <c r="B10" s="56" t="s">
        <v>14</v>
      </c>
      <c r="C10" s="56"/>
      <c r="D10" s="444" t="s">
        <v>15</v>
      </c>
      <c r="E10" s="444"/>
      <c r="F10" s="444"/>
      <c r="G10" s="444"/>
      <c r="H10" s="444"/>
      <c r="I10" s="444"/>
      <c r="J10" s="444"/>
      <c r="K10" s="444"/>
      <c r="L10" s="444"/>
      <c r="M10" s="444"/>
      <c r="N10" s="444"/>
      <c r="O10" s="444"/>
      <c r="P10" s="444"/>
      <c r="Q10" s="444"/>
      <c r="R10" s="444"/>
      <c r="S10" s="444"/>
      <c r="T10" s="444"/>
      <c r="U10" s="444"/>
      <c r="V10" s="444"/>
      <c r="W10" s="444"/>
      <c r="X10" s="444"/>
      <c r="Y10" s="444"/>
      <c r="Z10" s="444"/>
      <c r="AA10" s="444"/>
      <c r="AB10" s="444"/>
      <c r="AC10" s="444"/>
      <c r="AD10" s="444"/>
      <c r="AE10" s="444"/>
      <c r="AF10" s="444"/>
    </row>
    <row r="11" spans="2:36" ht="20.25" customHeight="1" x14ac:dyDescent="0.3">
      <c r="B11" s="13" t="s">
        <v>16</v>
      </c>
      <c r="C11" s="358" t="s">
        <v>97</v>
      </c>
      <c r="D11" s="336">
        <v>0.72099999999999997</v>
      </c>
      <c r="E11" s="25">
        <v>73</v>
      </c>
      <c r="F11" s="114"/>
      <c r="G11" s="228" t="s">
        <v>120</v>
      </c>
      <c r="H11" s="229"/>
      <c r="I11" s="273">
        <v>0.5</v>
      </c>
      <c r="J11" s="135">
        <v>30</v>
      </c>
      <c r="K11" s="273">
        <v>1</v>
      </c>
      <c r="L11" s="135">
        <v>100</v>
      </c>
      <c r="M11" s="273">
        <v>0.64</v>
      </c>
      <c r="N11" s="135">
        <v>30</v>
      </c>
      <c r="O11" s="273">
        <v>0.56000000000000005</v>
      </c>
      <c r="P11" s="135">
        <v>30</v>
      </c>
      <c r="Q11" s="273">
        <v>0.35</v>
      </c>
      <c r="R11" s="135">
        <v>30</v>
      </c>
      <c r="S11" s="273">
        <v>0.38</v>
      </c>
      <c r="T11" s="135">
        <v>30</v>
      </c>
      <c r="U11" s="273">
        <v>0.67</v>
      </c>
      <c r="V11" s="135">
        <v>30</v>
      </c>
      <c r="W11" s="274">
        <v>1</v>
      </c>
      <c r="X11" s="135">
        <v>100</v>
      </c>
      <c r="Y11" s="275">
        <v>0.67</v>
      </c>
      <c r="Z11" s="135">
        <v>30</v>
      </c>
      <c r="AA11" s="273">
        <v>1</v>
      </c>
      <c r="AB11" s="135">
        <v>100</v>
      </c>
      <c r="AC11" s="273">
        <v>0.88</v>
      </c>
      <c r="AD11" s="135">
        <v>100</v>
      </c>
      <c r="AE11" s="273">
        <v>0.71</v>
      </c>
      <c r="AF11" s="289">
        <v>73</v>
      </c>
    </row>
    <row r="12" spans="2:36" ht="20.25" customHeight="1" x14ac:dyDescent="0.3">
      <c r="B12" s="360" t="s">
        <v>18</v>
      </c>
      <c r="C12" s="358" t="s">
        <v>33</v>
      </c>
      <c r="D12" s="25">
        <v>84.75</v>
      </c>
      <c r="E12" s="25">
        <v>100</v>
      </c>
      <c r="F12" s="114"/>
      <c r="G12" s="429">
        <v>87</v>
      </c>
      <c r="H12" s="135">
        <v>100</v>
      </c>
      <c r="I12" s="219">
        <v>87</v>
      </c>
      <c r="J12" s="135">
        <v>100</v>
      </c>
      <c r="K12" s="219">
        <v>84</v>
      </c>
      <c r="L12" s="135">
        <v>100</v>
      </c>
      <c r="M12" s="180">
        <v>84.75</v>
      </c>
      <c r="N12" s="135">
        <v>100</v>
      </c>
      <c r="O12" s="428">
        <v>84.5</v>
      </c>
      <c r="P12" s="135">
        <v>100</v>
      </c>
      <c r="Q12" s="219">
        <v>84</v>
      </c>
      <c r="R12" s="135">
        <v>100</v>
      </c>
      <c r="S12" s="180">
        <v>83.25</v>
      </c>
      <c r="T12" s="135">
        <v>100</v>
      </c>
      <c r="U12" s="219">
        <v>86</v>
      </c>
      <c r="V12" s="135">
        <v>100</v>
      </c>
      <c r="W12" s="216">
        <v>84.75</v>
      </c>
      <c r="X12" s="135">
        <v>100</v>
      </c>
      <c r="Y12" s="222">
        <v>84.25</v>
      </c>
      <c r="Z12" s="183">
        <v>100</v>
      </c>
      <c r="AA12" s="180">
        <v>89.25</v>
      </c>
      <c r="AB12" s="135">
        <v>100</v>
      </c>
      <c r="AC12" s="428">
        <v>86.5</v>
      </c>
      <c r="AD12" s="183">
        <v>100</v>
      </c>
      <c r="AE12" s="180">
        <v>85.25</v>
      </c>
      <c r="AF12" s="183">
        <v>100</v>
      </c>
    </row>
    <row r="13" spans="2:36" ht="20.25" customHeight="1" x14ac:dyDescent="0.3">
      <c r="B13" s="360" t="s">
        <v>20</v>
      </c>
      <c r="C13" s="358" t="s">
        <v>98</v>
      </c>
      <c r="D13" s="23">
        <v>78</v>
      </c>
      <c r="E13" s="19">
        <v>73</v>
      </c>
      <c r="F13" s="115"/>
      <c r="G13" s="182">
        <v>75</v>
      </c>
      <c r="H13" s="183">
        <v>30</v>
      </c>
      <c r="I13" s="219">
        <v>83</v>
      </c>
      <c r="J13" s="183">
        <v>100</v>
      </c>
      <c r="K13" s="183">
        <v>77</v>
      </c>
      <c r="L13" s="135">
        <v>73</v>
      </c>
      <c r="M13" s="183">
        <v>79</v>
      </c>
      <c r="N13" s="183">
        <v>100</v>
      </c>
      <c r="O13" s="183">
        <v>80</v>
      </c>
      <c r="P13" s="183">
        <v>100</v>
      </c>
      <c r="Q13" s="183">
        <v>77</v>
      </c>
      <c r="R13" s="135">
        <v>73</v>
      </c>
      <c r="S13" s="183">
        <v>78</v>
      </c>
      <c r="T13" s="135">
        <v>73</v>
      </c>
      <c r="U13" s="183">
        <v>78</v>
      </c>
      <c r="V13" s="135">
        <v>73</v>
      </c>
      <c r="W13" s="216">
        <v>78</v>
      </c>
      <c r="X13" s="135">
        <v>73</v>
      </c>
      <c r="Y13" s="217">
        <v>79</v>
      </c>
      <c r="Z13" s="183">
        <v>100</v>
      </c>
      <c r="AA13" s="217">
        <v>80</v>
      </c>
      <c r="AB13" s="183">
        <v>100</v>
      </c>
      <c r="AC13" s="217">
        <v>81</v>
      </c>
      <c r="AD13" s="183">
        <v>100</v>
      </c>
      <c r="AE13" s="183">
        <v>82</v>
      </c>
      <c r="AF13" s="183">
        <v>100</v>
      </c>
    </row>
    <row r="14" spans="2:36" ht="20.25" customHeight="1" x14ac:dyDescent="0.3">
      <c r="B14" s="59" t="s">
        <v>22</v>
      </c>
      <c r="C14" s="378"/>
      <c r="D14" s="58" t="s">
        <v>23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74"/>
      <c r="Z14" s="74"/>
      <c r="AA14" s="74"/>
      <c r="AB14" s="74"/>
      <c r="AC14" s="74"/>
      <c r="AD14" s="74"/>
      <c r="AE14" s="40"/>
      <c r="AF14" s="34"/>
    </row>
    <row r="15" spans="2:36" x14ac:dyDescent="0.3">
      <c r="B15" s="360" t="s">
        <v>24</v>
      </c>
      <c r="C15" s="416">
        <v>3599</v>
      </c>
      <c r="D15" s="302" t="s">
        <v>30</v>
      </c>
      <c r="E15" s="25">
        <v>100</v>
      </c>
      <c r="F15" s="115"/>
      <c r="G15" s="312" t="s">
        <v>316</v>
      </c>
      <c r="H15" s="183">
        <v>30</v>
      </c>
      <c r="I15" s="205" t="s">
        <v>317</v>
      </c>
      <c r="J15" s="183">
        <v>100</v>
      </c>
      <c r="K15" s="205" t="s">
        <v>318</v>
      </c>
      <c r="L15" s="183">
        <v>30</v>
      </c>
      <c r="M15" s="205" t="s">
        <v>319</v>
      </c>
      <c r="N15" s="183">
        <v>100</v>
      </c>
      <c r="O15" s="205" t="s">
        <v>320</v>
      </c>
      <c r="P15" s="183">
        <v>30</v>
      </c>
      <c r="Q15" s="205" t="s">
        <v>321</v>
      </c>
      <c r="R15" s="183">
        <v>100</v>
      </c>
      <c r="S15" s="205" t="s">
        <v>322</v>
      </c>
      <c r="T15" s="183">
        <v>30</v>
      </c>
      <c r="U15" s="205" t="s">
        <v>323</v>
      </c>
      <c r="V15" s="183">
        <v>100</v>
      </c>
      <c r="W15" s="205" t="s">
        <v>324</v>
      </c>
      <c r="X15" s="135">
        <v>73</v>
      </c>
      <c r="Y15" s="218" t="s">
        <v>325</v>
      </c>
      <c r="Z15" s="183">
        <v>100</v>
      </c>
      <c r="AA15" s="288" t="s">
        <v>326</v>
      </c>
      <c r="AB15" s="183">
        <v>100</v>
      </c>
      <c r="AC15" s="205" t="s">
        <v>327</v>
      </c>
      <c r="AD15" s="183">
        <v>100</v>
      </c>
      <c r="AE15" s="205" t="s">
        <v>328</v>
      </c>
      <c r="AF15" s="183">
        <v>100</v>
      </c>
    </row>
    <row r="16" spans="2:36" ht="20.25" customHeight="1" x14ac:dyDescent="0.3">
      <c r="B16" s="360" t="s">
        <v>32</v>
      </c>
      <c r="C16" s="306" t="s">
        <v>33</v>
      </c>
      <c r="D16" s="165">
        <v>79</v>
      </c>
      <c r="E16" s="19">
        <v>73</v>
      </c>
      <c r="F16" s="116"/>
      <c r="G16" s="182">
        <v>78</v>
      </c>
      <c r="H16" s="183">
        <v>30</v>
      </c>
      <c r="I16" s="183">
        <v>82</v>
      </c>
      <c r="J16" s="183">
        <v>100</v>
      </c>
      <c r="K16" s="183">
        <v>79</v>
      </c>
      <c r="L16" s="135">
        <v>73</v>
      </c>
      <c r="M16" s="183">
        <v>79</v>
      </c>
      <c r="N16" s="135">
        <v>73</v>
      </c>
      <c r="O16" s="183">
        <v>83</v>
      </c>
      <c r="P16" s="183">
        <v>100</v>
      </c>
      <c r="Q16" s="183">
        <v>77</v>
      </c>
      <c r="R16" s="183">
        <v>30</v>
      </c>
      <c r="S16" s="183">
        <v>78</v>
      </c>
      <c r="T16" s="183">
        <v>30</v>
      </c>
      <c r="U16" s="183">
        <v>79</v>
      </c>
      <c r="V16" s="135">
        <v>73</v>
      </c>
      <c r="W16" s="183">
        <v>78</v>
      </c>
      <c r="X16" s="183">
        <v>30</v>
      </c>
      <c r="Y16" s="190">
        <v>79</v>
      </c>
      <c r="Z16" s="135">
        <v>73</v>
      </c>
      <c r="AA16" s="219">
        <v>78</v>
      </c>
      <c r="AB16" s="183">
        <v>30</v>
      </c>
      <c r="AC16" s="219">
        <v>84</v>
      </c>
      <c r="AD16" s="183">
        <v>100</v>
      </c>
      <c r="AE16" s="219">
        <v>84</v>
      </c>
      <c r="AF16" s="183">
        <v>100</v>
      </c>
    </row>
    <row r="17" spans="2:41" ht="20.25" customHeight="1" x14ac:dyDescent="0.3">
      <c r="B17" s="400" t="s">
        <v>34</v>
      </c>
      <c r="C17" s="358" t="s">
        <v>108</v>
      </c>
      <c r="D17" s="165" t="s">
        <v>40</v>
      </c>
      <c r="E17" s="313">
        <v>73</v>
      </c>
      <c r="F17" s="116"/>
      <c r="G17" s="23" t="s">
        <v>329</v>
      </c>
      <c r="H17" s="321">
        <v>100</v>
      </c>
      <c r="I17" s="23" t="s">
        <v>113</v>
      </c>
      <c r="J17" s="183"/>
      <c r="K17" s="23" t="s">
        <v>330</v>
      </c>
      <c r="L17" s="183">
        <v>30</v>
      </c>
      <c r="M17" s="23" t="s">
        <v>331</v>
      </c>
      <c r="N17" s="183">
        <v>30</v>
      </c>
      <c r="O17" s="23" t="s">
        <v>332</v>
      </c>
      <c r="P17" s="183">
        <v>30</v>
      </c>
      <c r="Q17" s="23" t="s">
        <v>333</v>
      </c>
      <c r="R17" s="183">
        <v>30</v>
      </c>
      <c r="S17" s="23" t="s">
        <v>334</v>
      </c>
      <c r="T17" s="183">
        <v>30</v>
      </c>
      <c r="U17" s="23" t="s">
        <v>335</v>
      </c>
      <c r="V17" s="361">
        <v>73</v>
      </c>
      <c r="W17" s="23" t="s">
        <v>267</v>
      </c>
      <c r="X17" s="361">
        <v>73</v>
      </c>
      <c r="Y17" s="16" t="s">
        <v>336</v>
      </c>
      <c r="Z17" s="361">
        <v>73</v>
      </c>
      <c r="AA17" s="23" t="s">
        <v>113</v>
      </c>
      <c r="AB17" s="183"/>
      <c r="AC17" s="23" t="s">
        <v>110</v>
      </c>
      <c r="AD17" s="321">
        <v>100</v>
      </c>
      <c r="AE17" s="23" t="s">
        <v>329</v>
      </c>
      <c r="AF17" s="321">
        <v>100</v>
      </c>
    </row>
    <row r="18" spans="2:41" ht="16.5" customHeight="1" x14ac:dyDescent="0.3">
      <c r="B18" s="13" t="s">
        <v>42</v>
      </c>
      <c r="C18" s="384" t="s">
        <v>273</v>
      </c>
      <c r="D18" s="168">
        <v>0.20899999999999999</v>
      </c>
      <c r="E18" s="23">
        <v>30</v>
      </c>
      <c r="F18" s="117"/>
      <c r="G18" s="185">
        <v>0.107</v>
      </c>
      <c r="H18" s="183">
        <v>100</v>
      </c>
      <c r="I18" s="229">
        <v>0.23599999999999999</v>
      </c>
      <c r="J18" s="183">
        <v>30</v>
      </c>
      <c r="K18" s="186">
        <v>0.19800000000000001</v>
      </c>
      <c r="L18" s="183">
        <v>30</v>
      </c>
      <c r="M18" s="229">
        <v>0.23799999999999999</v>
      </c>
      <c r="N18" s="183">
        <v>30</v>
      </c>
      <c r="O18" s="186">
        <v>0.20200000000000001</v>
      </c>
      <c r="P18" s="183">
        <v>100</v>
      </c>
      <c r="Q18" s="186">
        <v>0.246</v>
      </c>
      <c r="R18" s="183">
        <v>30</v>
      </c>
      <c r="S18" s="229">
        <v>0.218</v>
      </c>
      <c r="T18" s="183">
        <v>30</v>
      </c>
      <c r="U18" s="186">
        <v>0.189</v>
      </c>
      <c r="V18" s="183">
        <v>30</v>
      </c>
      <c r="W18" s="186">
        <v>0.17399999999999999</v>
      </c>
      <c r="X18" s="183">
        <v>30</v>
      </c>
      <c r="Y18" s="199">
        <v>0.23100000000000001</v>
      </c>
      <c r="Z18" s="183">
        <v>30</v>
      </c>
      <c r="AA18" s="186">
        <v>0.217</v>
      </c>
      <c r="AB18" s="183">
        <v>30</v>
      </c>
      <c r="AC18" s="186">
        <v>0.192</v>
      </c>
      <c r="AD18" s="183">
        <v>30</v>
      </c>
      <c r="AE18" s="186">
        <v>0.25900000000000001</v>
      </c>
      <c r="AF18" s="183">
        <v>30</v>
      </c>
    </row>
    <row r="19" spans="2:41" ht="20.25" customHeight="1" x14ac:dyDescent="0.3">
      <c r="B19" s="353" t="s">
        <v>44</v>
      </c>
      <c r="C19" s="379"/>
      <c r="D19" s="61" t="s">
        <v>45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75"/>
      <c r="Z19" s="75"/>
      <c r="AA19" s="75"/>
      <c r="AB19" s="75"/>
      <c r="AC19" s="75"/>
      <c r="AD19" s="75"/>
      <c r="AE19" s="41"/>
      <c r="AF19" s="35"/>
      <c r="AG19" s="441"/>
      <c r="AH19" s="441"/>
      <c r="AI19" s="441"/>
      <c r="AJ19" s="441"/>
      <c r="AK19" s="441"/>
      <c r="AL19" s="441"/>
      <c r="AM19" s="441"/>
      <c r="AN19" s="441"/>
      <c r="AO19" s="441"/>
    </row>
    <row r="20" spans="2:41" ht="20.25" customHeight="1" x14ac:dyDescent="0.3">
      <c r="B20" s="72" t="s">
        <v>46</v>
      </c>
      <c r="C20" s="358" t="s">
        <v>274</v>
      </c>
      <c r="D20" s="23" t="s">
        <v>52</v>
      </c>
      <c r="E20" s="19">
        <v>73</v>
      </c>
      <c r="F20" s="113"/>
      <c r="G20" s="207" t="s">
        <v>337</v>
      </c>
      <c r="H20" s="23">
        <v>30</v>
      </c>
      <c r="I20" s="190" t="s">
        <v>338</v>
      </c>
      <c r="J20" s="19">
        <v>73</v>
      </c>
      <c r="K20" s="190" t="s">
        <v>338</v>
      </c>
      <c r="L20" s="19">
        <v>73</v>
      </c>
      <c r="M20" s="190" t="s">
        <v>338</v>
      </c>
      <c r="N20" s="19">
        <v>73</v>
      </c>
      <c r="O20" s="190" t="s">
        <v>338</v>
      </c>
      <c r="P20" s="19">
        <v>73</v>
      </c>
      <c r="Q20" s="421" t="s">
        <v>339</v>
      </c>
      <c r="R20" s="19">
        <v>73</v>
      </c>
      <c r="S20" s="208" t="s">
        <v>339</v>
      </c>
      <c r="T20" s="19">
        <v>73</v>
      </c>
      <c r="U20" s="208" t="s">
        <v>339</v>
      </c>
      <c r="V20" s="19">
        <v>73</v>
      </c>
      <c r="W20" s="208" t="s">
        <v>339</v>
      </c>
      <c r="X20" s="19">
        <v>73</v>
      </c>
      <c r="Y20" s="209" t="s">
        <v>340</v>
      </c>
      <c r="Z20" s="306">
        <v>30</v>
      </c>
      <c r="AA20" s="209" t="s">
        <v>340</v>
      </c>
      <c r="AB20" s="306">
        <v>30</v>
      </c>
      <c r="AC20" s="209" t="s">
        <v>341</v>
      </c>
      <c r="AD20" s="19">
        <v>73</v>
      </c>
      <c r="AE20" s="209" t="s">
        <v>341</v>
      </c>
      <c r="AF20" s="19">
        <v>73</v>
      </c>
    </row>
    <row r="21" spans="2:41" ht="20.25" customHeight="1" x14ac:dyDescent="0.3">
      <c r="B21" s="72" t="s">
        <v>54</v>
      </c>
      <c r="C21" s="358" t="s">
        <v>108</v>
      </c>
      <c r="D21" s="23">
        <v>73</v>
      </c>
      <c r="E21" s="19">
        <v>73</v>
      </c>
      <c r="F21" s="146"/>
      <c r="G21" s="210">
        <v>99</v>
      </c>
      <c r="H21" s="303">
        <v>100</v>
      </c>
      <c r="I21" s="190">
        <v>87</v>
      </c>
      <c r="J21" s="303">
        <v>100</v>
      </c>
      <c r="K21" s="211">
        <v>56</v>
      </c>
      <c r="L21" s="23">
        <v>30</v>
      </c>
      <c r="M21" s="211">
        <v>61</v>
      </c>
      <c r="N21" s="306">
        <v>30</v>
      </c>
      <c r="O21" s="212">
        <v>88</v>
      </c>
      <c r="P21" s="14">
        <v>100</v>
      </c>
      <c r="Q21" s="211">
        <v>11</v>
      </c>
      <c r="R21" s="23">
        <v>30</v>
      </c>
      <c r="S21" s="211">
        <v>35</v>
      </c>
      <c r="T21" s="23">
        <v>30</v>
      </c>
      <c r="U21" s="212">
        <v>68</v>
      </c>
      <c r="V21" s="313">
        <v>73</v>
      </c>
      <c r="W21" s="211">
        <v>78</v>
      </c>
      <c r="X21" s="14">
        <v>100</v>
      </c>
      <c r="Y21" s="212">
        <v>66</v>
      </c>
      <c r="Z21" s="313">
        <v>73</v>
      </c>
      <c r="AA21" s="212">
        <v>96</v>
      </c>
      <c r="AB21" s="14">
        <v>100</v>
      </c>
      <c r="AC21" s="212">
        <v>77</v>
      </c>
      <c r="AD21" s="303">
        <v>100</v>
      </c>
      <c r="AE21" s="212">
        <v>76</v>
      </c>
      <c r="AF21" s="14">
        <v>100</v>
      </c>
    </row>
    <row r="22" spans="2:41" ht="20.25" customHeight="1" x14ac:dyDescent="0.3">
      <c r="B22" s="72" t="s">
        <v>55</v>
      </c>
      <c r="C22" s="358" t="s">
        <v>108</v>
      </c>
      <c r="D22" s="23">
        <v>62</v>
      </c>
      <c r="E22" s="306">
        <v>30</v>
      </c>
      <c r="F22" s="146"/>
      <c r="G22" s="210">
        <v>96</v>
      </c>
      <c r="H22" s="14">
        <v>100</v>
      </c>
      <c r="I22" s="190">
        <v>85</v>
      </c>
      <c r="J22" s="14">
        <v>100</v>
      </c>
      <c r="K22" s="211">
        <v>92</v>
      </c>
      <c r="L22" s="303">
        <v>100</v>
      </c>
      <c r="M22" s="211">
        <v>45</v>
      </c>
      <c r="N22" s="306">
        <v>30</v>
      </c>
      <c r="O22" s="212">
        <v>81</v>
      </c>
      <c r="P22" s="14">
        <v>100</v>
      </c>
      <c r="Q22" s="211">
        <v>66</v>
      </c>
      <c r="R22" s="313">
        <v>73</v>
      </c>
      <c r="S22" s="211">
        <v>52</v>
      </c>
      <c r="T22" s="23">
        <v>30</v>
      </c>
      <c r="U22" s="212">
        <v>28</v>
      </c>
      <c r="V22" s="23">
        <v>30</v>
      </c>
      <c r="W22" s="211">
        <v>76</v>
      </c>
      <c r="X22" s="303">
        <v>100</v>
      </c>
      <c r="Y22" s="212">
        <v>1</v>
      </c>
      <c r="Z22" s="23">
        <v>30</v>
      </c>
      <c r="AA22" s="212">
        <v>93</v>
      </c>
      <c r="AB22" s="14">
        <v>100</v>
      </c>
      <c r="AC22" s="212">
        <v>38</v>
      </c>
      <c r="AD22" s="306">
        <v>30</v>
      </c>
      <c r="AE22" s="212">
        <v>94</v>
      </c>
      <c r="AF22" s="14">
        <v>100</v>
      </c>
    </row>
    <row r="23" spans="2:41" ht="26.15" customHeight="1" x14ac:dyDescent="0.3">
      <c r="B23" s="13" t="s">
        <v>56</v>
      </c>
      <c r="C23" s="358" t="s">
        <v>108</v>
      </c>
      <c r="D23" s="23">
        <v>74</v>
      </c>
      <c r="E23" s="313">
        <v>73</v>
      </c>
      <c r="F23" s="146"/>
      <c r="G23" s="210">
        <v>99</v>
      </c>
      <c r="H23" s="14">
        <v>100</v>
      </c>
      <c r="I23" s="212">
        <v>68</v>
      </c>
      <c r="J23" s="313">
        <v>73</v>
      </c>
      <c r="K23" s="212">
        <v>68</v>
      </c>
      <c r="L23" s="313">
        <v>73</v>
      </c>
      <c r="M23" s="212">
        <v>68</v>
      </c>
      <c r="N23" s="313">
        <v>73</v>
      </c>
      <c r="O23" s="212">
        <v>68</v>
      </c>
      <c r="P23" s="313">
        <v>73</v>
      </c>
      <c r="Q23" s="211">
        <v>61</v>
      </c>
      <c r="R23" s="306">
        <v>30</v>
      </c>
      <c r="S23" s="211">
        <v>61</v>
      </c>
      <c r="T23" s="306">
        <v>30</v>
      </c>
      <c r="U23" s="211">
        <v>61</v>
      </c>
      <c r="V23" s="306">
        <v>30</v>
      </c>
      <c r="W23" s="211">
        <v>61</v>
      </c>
      <c r="X23" s="19">
        <v>73</v>
      </c>
      <c r="Y23" s="212">
        <v>53</v>
      </c>
      <c r="Z23" s="306">
        <v>30</v>
      </c>
      <c r="AA23" s="212">
        <v>53</v>
      </c>
      <c r="AB23" s="306">
        <v>30</v>
      </c>
      <c r="AC23" s="212">
        <v>44</v>
      </c>
      <c r="AD23" s="306">
        <v>30</v>
      </c>
      <c r="AE23" s="212">
        <v>44</v>
      </c>
      <c r="AF23" s="306">
        <v>30</v>
      </c>
    </row>
    <row r="24" spans="2:41" ht="20.25" customHeight="1" x14ac:dyDescent="0.3">
      <c r="B24" s="68" t="s">
        <v>57</v>
      </c>
      <c r="C24" s="380"/>
      <c r="D24" s="67" t="s">
        <v>58</v>
      </c>
      <c r="E24" s="65"/>
      <c r="F24" s="65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76"/>
      <c r="Z24" s="76"/>
      <c r="AA24" s="76"/>
      <c r="AB24" s="76"/>
      <c r="AC24" s="76"/>
      <c r="AD24" s="76"/>
      <c r="AE24" s="51"/>
      <c r="AF24" s="50"/>
    </row>
    <row r="25" spans="2:41" ht="20.25" customHeight="1" x14ac:dyDescent="0.3">
      <c r="B25" s="13" t="s">
        <v>59</v>
      </c>
      <c r="C25" s="358" t="s">
        <v>119</v>
      </c>
      <c r="D25" s="166">
        <v>0.64</v>
      </c>
      <c r="E25" s="23">
        <v>30</v>
      </c>
      <c r="F25" s="128"/>
      <c r="G25" s="182" t="s">
        <v>120</v>
      </c>
      <c r="H25" s="183" t="s">
        <v>41</v>
      </c>
      <c r="I25" s="183">
        <v>0</v>
      </c>
      <c r="J25" s="23">
        <v>30</v>
      </c>
      <c r="K25" s="183">
        <v>0</v>
      </c>
      <c r="L25" s="23">
        <v>30</v>
      </c>
      <c r="M25" s="183">
        <v>0</v>
      </c>
      <c r="N25" s="23">
        <v>30</v>
      </c>
      <c r="O25" s="231">
        <v>1</v>
      </c>
      <c r="P25" s="25">
        <v>100</v>
      </c>
      <c r="Q25" s="183">
        <v>0</v>
      </c>
      <c r="R25" s="23">
        <v>30</v>
      </c>
      <c r="S25" s="183">
        <v>0</v>
      </c>
      <c r="T25" s="23">
        <v>30</v>
      </c>
      <c r="U25" s="231">
        <v>1</v>
      </c>
      <c r="V25" s="25">
        <v>100</v>
      </c>
      <c r="W25" s="231">
        <v>1</v>
      </c>
      <c r="X25" s="25">
        <v>100</v>
      </c>
      <c r="Y25" s="183">
        <v>0</v>
      </c>
      <c r="Z25" s="23">
        <v>30</v>
      </c>
      <c r="AA25" s="231">
        <v>1</v>
      </c>
      <c r="AB25" s="25">
        <v>100</v>
      </c>
      <c r="AC25" s="183">
        <v>0</v>
      </c>
      <c r="AD25" s="23">
        <v>30</v>
      </c>
      <c r="AE25" s="231">
        <v>1</v>
      </c>
      <c r="AF25" s="25">
        <v>100</v>
      </c>
    </row>
    <row r="26" spans="2:41" ht="20.25" customHeight="1" x14ac:dyDescent="0.3">
      <c r="B26" s="13" t="s">
        <v>61</v>
      </c>
      <c r="C26" s="358" t="s">
        <v>121</v>
      </c>
      <c r="D26" s="166">
        <v>0.57999999999999996</v>
      </c>
      <c r="E26" s="23">
        <v>30</v>
      </c>
      <c r="F26" s="128"/>
      <c r="G26" s="182" t="s">
        <v>120</v>
      </c>
      <c r="H26" s="183" t="s">
        <v>41</v>
      </c>
      <c r="I26" s="183" t="s">
        <v>120</v>
      </c>
      <c r="J26" s="183" t="s">
        <v>41</v>
      </c>
      <c r="K26" s="231">
        <v>1</v>
      </c>
      <c r="L26" s="25">
        <v>100</v>
      </c>
      <c r="M26" s="183">
        <v>0</v>
      </c>
      <c r="N26" s="23">
        <v>30</v>
      </c>
      <c r="O26" s="231">
        <v>1</v>
      </c>
      <c r="P26" s="25">
        <v>100</v>
      </c>
      <c r="Q26" s="183">
        <v>0</v>
      </c>
      <c r="R26" s="23">
        <v>30</v>
      </c>
      <c r="S26" s="183">
        <v>0</v>
      </c>
      <c r="T26" s="23">
        <v>30</v>
      </c>
      <c r="U26" s="231">
        <v>1</v>
      </c>
      <c r="V26" s="25">
        <v>100</v>
      </c>
      <c r="W26" s="231">
        <v>1</v>
      </c>
      <c r="X26" s="25">
        <v>100</v>
      </c>
      <c r="Y26" s="231">
        <v>1</v>
      </c>
      <c r="Z26" s="25">
        <v>100</v>
      </c>
      <c r="AA26" s="183" t="s">
        <v>120</v>
      </c>
      <c r="AB26" s="183" t="s">
        <v>41</v>
      </c>
      <c r="AC26" s="231">
        <v>1</v>
      </c>
      <c r="AD26" s="25">
        <v>100</v>
      </c>
      <c r="AE26" s="231">
        <v>1</v>
      </c>
      <c r="AF26" s="25">
        <v>100</v>
      </c>
    </row>
    <row r="27" spans="2:41" ht="20.25" customHeight="1" x14ac:dyDescent="0.3">
      <c r="B27" s="360" t="s">
        <v>63</v>
      </c>
      <c r="C27" s="306" t="s">
        <v>64</v>
      </c>
      <c r="D27" s="315">
        <v>0.83</v>
      </c>
      <c r="E27" s="19">
        <v>73</v>
      </c>
      <c r="F27" s="129"/>
      <c r="G27" s="179">
        <v>1.26</v>
      </c>
      <c r="H27" s="23">
        <v>30</v>
      </c>
      <c r="I27" s="180">
        <v>0.48</v>
      </c>
      <c r="J27" s="25">
        <v>100</v>
      </c>
      <c r="K27" s="180">
        <v>0.35</v>
      </c>
      <c r="L27" s="19">
        <v>100</v>
      </c>
      <c r="M27" s="180">
        <v>0.52</v>
      </c>
      <c r="N27" s="25">
        <v>100</v>
      </c>
      <c r="O27" s="180">
        <v>0.28999999999999998</v>
      </c>
      <c r="P27" s="25">
        <v>100</v>
      </c>
      <c r="Q27" s="180">
        <v>0.45</v>
      </c>
      <c r="R27" s="25">
        <v>100</v>
      </c>
      <c r="S27" s="180">
        <v>0.41</v>
      </c>
      <c r="T27" s="25">
        <v>100</v>
      </c>
      <c r="U27" s="180">
        <v>0.48</v>
      </c>
      <c r="V27" s="25">
        <v>100</v>
      </c>
      <c r="W27" s="180">
        <v>0.49</v>
      </c>
      <c r="X27" s="25">
        <v>100</v>
      </c>
      <c r="Y27" s="180">
        <v>0.71</v>
      </c>
      <c r="Z27" s="19">
        <v>73</v>
      </c>
      <c r="AA27" s="180">
        <v>0.32</v>
      </c>
      <c r="AB27" s="25">
        <v>100</v>
      </c>
      <c r="AC27" s="180">
        <v>0.53</v>
      </c>
      <c r="AD27" s="25">
        <v>100</v>
      </c>
      <c r="AE27" s="180">
        <v>0.42</v>
      </c>
      <c r="AF27" s="25">
        <v>100</v>
      </c>
    </row>
    <row r="28" spans="2:41" ht="25" x14ac:dyDescent="0.3">
      <c r="B28" s="417" t="s">
        <v>65</v>
      </c>
      <c r="C28" s="306" t="s">
        <v>66</v>
      </c>
      <c r="D28" s="166">
        <v>0.39</v>
      </c>
      <c r="E28" s="306">
        <v>30</v>
      </c>
      <c r="F28" s="418"/>
      <c r="G28" s="419">
        <v>2.82</v>
      </c>
      <c r="H28" s="23">
        <v>30</v>
      </c>
      <c r="I28" s="180">
        <v>3.15</v>
      </c>
      <c r="J28" s="23" t="s">
        <v>41</v>
      </c>
      <c r="K28" s="180">
        <v>2.76</v>
      </c>
      <c r="L28" s="23">
        <v>30</v>
      </c>
      <c r="M28" s="180">
        <v>4.18</v>
      </c>
      <c r="N28" s="19">
        <v>73</v>
      </c>
      <c r="O28" s="180">
        <v>3.12</v>
      </c>
      <c r="P28" s="23">
        <v>30</v>
      </c>
      <c r="Q28" s="180">
        <v>3.48</v>
      </c>
      <c r="R28" s="19">
        <v>73</v>
      </c>
      <c r="S28" s="180">
        <v>3.62</v>
      </c>
      <c r="T28" s="25">
        <v>100</v>
      </c>
      <c r="U28" s="180">
        <v>3.89</v>
      </c>
      <c r="V28" s="25">
        <v>100</v>
      </c>
      <c r="W28" s="180">
        <v>3.73</v>
      </c>
      <c r="X28" s="25">
        <v>100</v>
      </c>
      <c r="Y28" s="180">
        <v>3.13</v>
      </c>
      <c r="Z28" s="23">
        <v>30</v>
      </c>
      <c r="AA28" s="180">
        <v>2.74</v>
      </c>
      <c r="AB28" s="23">
        <v>30</v>
      </c>
      <c r="AC28" s="180">
        <v>4.18</v>
      </c>
      <c r="AD28" s="19">
        <v>73</v>
      </c>
      <c r="AE28" s="180">
        <v>2.91</v>
      </c>
      <c r="AF28" s="23">
        <v>30</v>
      </c>
    </row>
    <row r="29" spans="2:41" ht="25" x14ac:dyDescent="0.3">
      <c r="B29" s="360" t="s">
        <v>67</v>
      </c>
      <c r="C29" s="306" t="s">
        <v>66</v>
      </c>
      <c r="D29" s="166">
        <v>0.96</v>
      </c>
      <c r="E29" s="313">
        <v>73</v>
      </c>
      <c r="F29" s="153"/>
      <c r="G29" s="179">
        <v>0.66</v>
      </c>
      <c r="H29" s="25">
        <v>100</v>
      </c>
      <c r="I29" s="180">
        <v>0.75</v>
      </c>
      <c r="J29" s="19">
        <v>100</v>
      </c>
      <c r="K29" s="180">
        <v>0.62</v>
      </c>
      <c r="L29" s="19">
        <v>100</v>
      </c>
      <c r="M29" s="180">
        <v>0.9</v>
      </c>
      <c r="N29" s="25">
        <v>100</v>
      </c>
      <c r="O29" s="180">
        <v>0.78</v>
      </c>
      <c r="P29" s="25">
        <v>100</v>
      </c>
      <c r="Q29" s="180">
        <v>0.79</v>
      </c>
      <c r="R29" s="25">
        <v>100</v>
      </c>
      <c r="S29" s="180">
        <v>0.79</v>
      </c>
      <c r="T29" s="25">
        <v>30</v>
      </c>
      <c r="U29" s="180">
        <v>0.82</v>
      </c>
      <c r="V29" s="19">
        <v>100</v>
      </c>
      <c r="W29" s="180">
        <v>0.76</v>
      </c>
      <c r="X29" s="25">
        <v>100</v>
      </c>
      <c r="Y29" s="180">
        <v>0.79</v>
      </c>
      <c r="Z29" s="25">
        <v>100</v>
      </c>
      <c r="AA29" s="180">
        <v>0.69</v>
      </c>
      <c r="AB29" s="19">
        <v>100</v>
      </c>
      <c r="AC29" s="25">
        <v>0.82</v>
      </c>
      <c r="AD29" s="19">
        <v>100</v>
      </c>
      <c r="AE29" s="25">
        <v>0.74</v>
      </c>
      <c r="AF29" s="23">
        <v>100</v>
      </c>
    </row>
    <row r="30" spans="2:41" ht="20.25" customHeight="1" x14ac:dyDescent="0.3">
      <c r="B30" s="71" t="s">
        <v>68</v>
      </c>
      <c r="C30" s="381"/>
      <c r="D30" s="70" t="s">
        <v>69</v>
      </c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77"/>
      <c r="Z30" s="77"/>
      <c r="AA30" s="77"/>
      <c r="AB30" s="77"/>
      <c r="AC30" s="77"/>
      <c r="AD30" s="77"/>
      <c r="AE30" s="48"/>
      <c r="AF30" s="48"/>
    </row>
    <row r="31" spans="2:41" ht="20.25" customHeight="1" x14ac:dyDescent="0.3">
      <c r="B31" s="360" t="s">
        <v>70</v>
      </c>
      <c r="C31" s="386" t="s">
        <v>279</v>
      </c>
      <c r="D31" s="165" t="s">
        <v>76</v>
      </c>
      <c r="E31" s="23">
        <v>30</v>
      </c>
      <c r="F31" s="109"/>
      <c r="G31" s="187" t="s">
        <v>342</v>
      </c>
      <c r="H31" s="23">
        <v>100</v>
      </c>
      <c r="I31" s="195" t="s">
        <v>41</v>
      </c>
      <c r="J31" s="195"/>
      <c r="K31" s="195" t="s">
        <v>343</v>
      </c>
      <c r="L31" s="14">
        <v>100</v>
      </c>
      <c r="M31" s="195" t="s">
        <v>344</v>
      </c>
      <c r="N31" s="23">
        <v>30</v>
      </c>
      <c r="O31" s="195" t="s">
        <v>345</v>
      </c>
      <c r="P31" s="23">
        <v>30</v>
      </c>
      <c r="Q31" s="195" t="s">
        <v>346</v>
      </c>
      <c r="R31" s="23">
        <v>30</v>
      </c>
      <c r="S31" s="195" t="s">
        <v>347</v>
      </c>
      <c r="T31" s="14">
        <v>100</v>
      </c>
      <c r="U31" s="267" t="s">
        <v>348</v>
      </c>
      <c r="V31" s="23">
        <v>30</v>
      </c>
      <c r="W31" s="195" t="s">
        <v>349</v>
      </c>
      <c r="X31" s="23">
        <v>30</v>
      </c>
      <c r="Y31" s="200" t="s">
        <v>350</v>
      </c>
      <c r="Z31" s="23">
        <v>30</v>
      </c>
      <c r="AA31" s="200" t="s">
        <v>41</v>
      </c>
      <c r="AB31" s="195"/>
      <c r="AC31" s="200" t="s">
        <v>351</v>
      </c>
      <c r="AD31" s="14">
        <v>100</v>
      </c>
      <c r="AE31" s="200" t="s">
        <v>287</v>
      </c>
      <c r="AF31" s="23">
        <v>100</v>
      </c>
    </row>
    <row r="32" spans="2:41" ht="20.25" customHeight="1" x14ac:dyDescent="0.3">
      <c r="B32" s="360" t="s">
        <v>78</v>
      </c>
      <c r="C32" s="377"/>
      <c r="D32" s="169">
        <v>0.154</v>
      </c>
      <c r="E32" s="306">
        <v>100</v>
      </c>
      <c r="F32" s="152"/>
      <c r="G32" s="196">
        <v>-5.5E-2</v>
      </c>
      <c r="H32" s="180">
        <v>30</v>
      </c>
      <c r="I32" s="320" t="s">
        <v>41</v>
      </c>
      <c r="J32" s="180"/>
      <c r="K32" s="197">
        <v>0.12</v>
      </c>
      <c r="L32" s="303">
        <v>100</v>
      </c>
      <c r="M32" s="197">
        <v>0.218</v>
      </c>
      <c r="N32" s="303">
        <v>100</v>
      </c>
      <c r="O32" s="197">
        <v>0.221</v>
      </c>
      <c r="P32" s="180">
        <v>100</v>
      </c>
      <c r="Q32" s="197">
        <v>0.17100000000000001</v>
      </c>
      <c r="R32" s="321">
        <v>100</v>
      </c>
      <c r="S32" s="197">
        <v>0.246</v>
      </c>
      <c r="T32" s="321">
        <v>100</v>
      </c>
      <c r="U32" s="186">
        <v>0.13200000000000001</v>
      </c>
      <c r="V32" s="184">
        <v>100</v>
      </c>
      <c r="W32" s="186">
        <v>8.5000000000000006E-2</v>
      </c>
      <c r="X32" s="321">
        <v>100</v>
      </c>
      <c r="Y32" s="197">
        <v>4.1000000000000002E-2</v>
      </c>
      <c r="Z32" s="180">
        <v>100</v>
      </c>
      <c r="AA32" s="197" t="s">
        <v>41</v>
      </c>
      <c r="AB32" s="180"/>
      <c r="AC32" s="197">
        <v>0.17299999999999999</v>
      </c>
      <c r="AD32" s="180">
        <v>100</v>
      </c>
      <c r="AE32" s="197">
        <v>0.29099999999999998</v>
      </c>
      <c r="AF32" s="178">
        <v>100</v>
      </c>
    </row>
    <row r="33" spans="2:32" ht="20.25" customHeight="1" x14ac:dyDescent="0.3">
      <c r="B33" s="64" t="s">
        <v>80</v>
      </c>
      <c r="C33" s="64"/>
      <c r="D33" s="130" t="s">
        <v>81</v>
      </c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78"/>
      <c r="Z33" s="78"/>
      <c r="AA33" s="78"/>
      <c r="AB33" s="78"/>
      <c r="AC33" s="78"/>
      <c r="AD33" s="78"/>
      <c r="AE33" s="49"/>
      <c r="AF33" s="49"/>
    </row>
    <row r="34" spans="2:32" ht="20.25" customHeight="1" x14ac:dyDescent="0.3">
      <c r="B34" s="13" t="s">
        <v>82</v>
      </c>
      <c r="C34" s="385">
        <v>0.60499999999999998</v>
      </c>
      <c r="D34" s="26">
        <v>0.56899999999999995</v>
      </c>
      <c r="E34" s="19">
        <v>30</v>
      </c>
      <c r="F34" s="109"/>
      <c r="G34" s="198">
        <v>0.40899999999999997</v>
      </c>
      <c r="H34" s="183">
        <v>30</v>
      </c>
      <c r="I34" s="199" t="s">
        <v>113</v>
      </c>
      <c r="J34" s="183"/>
      <c r="K34" s="199">
        <v>0.39700000000000002</v>
      </c>
      <c r="L34" s="183">
        <v>30</v>
      </c>
      <c r="M34" s="199">
        <v>0.59099999999999997</v>
      </c>
      <c r="N34" s="183">
        <v>73</v>
      </c>
      <c r="O34" s="200" t="s">
        <v>113</v>
      </c>
      <c r="P34" s="183"/>
      <c r="Q34" s="199">
        <v>0.55000000000000004</v>
      </c>
      <c r="R34" s="183">
        <v>30</v>
      </c>
      <c r="S34" s="199">
        <v>0.55000000000000004</v>
      </c>
      <c r="T34" s="183">
        <v>30</v>
      </c>
      <c r="U34" s="199">
        <v>0.55000000000000004</v>
      </c>
      <c r="V34" s="183">
        <v>30</v>
      </c>
      <c r="W34" s="199">
        <v>0.55000000000000004</v>
      </c>
      <c r="X34" s="183">
        <v>30</v>
      </c>
      <c r="Y34" s="186">
        <v>0.72</v>
      </c>
      <c r="Z34" s="183">
        <v>73</v>
      </c>
      <c r="AA34" s="186" t="s">
        <v>113</v>
      </c>
      <c r="AB34" s="183"/>
      <c r="AC34" s="186">
        <v>0.498</v>
      </c>
      <c r="AD34" s="183">
        <v>30</v>
      </c>
      <c r="AE34" s="232" t="s">
        <v>113</v>
      </c>
      <c r="AF34" s="183"/>
    </row>
    <row r="35" spans="2:32" x14ac:dyDescent="0.3">
      <c r="B35" s="363" t="s">
        <v>84</v>
      </c>
      <c r="C35" s="363"/>
      <c r="D35" s="387">
        <f>IFERROR(COUNTIF(E11:E34,"&gt;=74")/COUNTIFS(E11:E34,"&gt;0",E11:E34,"&lt;&gt;N/A"),0)</f>
        <v>0.15789473684210525</v>
      </c>
      <c r="E35" s="363"/>
      <c r="F35" s="363"/>
      <c r="G35" s="387">
        <f>IFERROR(COUNTIF(H11:H34,"&gt;=74")/COUNTIFS(H11:H34,"&gt;0",H11:H34,"&lt;&gt;N/A"),0)</f>
        <v>0.5</v>
      </c>
      <c r="H35" s="363"/>
      <c r="I35" s="387">
        <f>IFERROR(COUNTIF(J11:J34,"&gt;=74")/COUNTIFS(J11:J34,"&gt;0",J11:J34,"&lt;&gt;N/A"),0)</f>
        <v>0.61538461538461542</v>
      </c>
      <c r="J35" s="363"/>
      <c r="K35" s="387">
        <f>IFERROR(COUNTIF(L11:L34,"&gt;=74")/COUNTIFS(L11:L34,"&gt;0",L11:L34,"&lt;&gt;N/A"),0)</f>
        <v>0.42105263157894735</v>
      </c>
      <c r="L35" s="363"/>
      <c r="M35" s="387">
        <f>IFERROR(COUNTIF(N11:N34,"&gt;=74")/COUNTIFS(N11:N34,"&gt;0",N11:N34,"&lt;&gt;N/A"),0)</f>
        <v>0.31578947368421051</v>
      </c>
      <c r="N35" s="363"/>
      <c r="O35" s="387">
        <f>IFERROR(COUNTIF(P11:P34,"&gt;=74")/COUNTIFS(P11:P34,"&gt;0",P11:P34,"&lt;&gt;N/A"),0)</f>
        <v>0.61111111111111116</v>
      </c>
      <c r="P35" s="363"/>
      <c r="Q35" s="387">
        <f>IFERROR(COUNTIF(R11:R34,"&gt;=74")/COUNTIFS(R11:R34,"&gt;0",R11:R34,"&lt;&gt;N/A"),0)</f>
        <v>0.26315789473684209</v>
      </c>
      <c r="R35" s="363"/>
      <c r="S35" s="387">
        <f>IFERROR(COUNTIF(T11:T34,"&gt;=74")/COUNTIFS(T11:T34,"&gt;0",T11:T34,"&lt;&gt;N/A"),0)</f>
        <v>0.26315789473684209</v>
      </c>
      <c r="T35" s="363"/>
      <c r="U35" s="387">
        <f>IFERROR(COUNTIF(V11:V34,"&gt;=74")/COUNTIFS(V11:V34,"&gt;0",V11:V34,"&lt;&gt;N/A"),0)</f>
        <v>0.42105263157894735</v>
      </c>
      <c r="V35" s="363"/>
      <c r="W35" s="387">
        <f>IFERROR(COUNTIF(X11:X34,"&gt;=74")/COUNTIFS(X11:X34,"&gt;0",X11:X34,"&lt;&gt;N/A"),0)</f>
        <v>0.52631578947368418</v>
      </c>
      <c r="X35" s="392"/>
      <c r="Y35" s="387">
        <f>IFERROR(COUNTIF(Z11:Z34,"&gt;=74")/COUNTIFS(Z11:Z34,"&gt;0",Z11:Z34,"&lt;&gt;N/A"),0)</f>
        <v>0.31578947368421051</v>
      </c>
      <c r="Z35" s="392"/>
      <c r="AA35" s="387">
        <f>IFERROR(COUNTIF(AB11:AB34,"&gt;=74")/COUNTIFS(AB11:AB34,"&gt;0",AB11:AB34,"&lt;&gt;N/A"),0)</f>
        <v>0.6428571428571429</v>
      </c>
      <c r="AB35" s="392"/>
      <c r="AC35" s="387">
        <f>IFERROR(COUNTIF(AD11:AD34,"&gt;=74")/COUNTIFS(AD11:AD34,"&gt;0",AD11:AD34,"&lt;&gt;N/A"),0)</f>
        <v>0.63157894736842102</v>
      </c>
      <c r="AD35" s="394"/>
      <c r="AE35" s="387">
        <f>IFERROR(COUNTIF(AF11:AF34,"&gt;=74")/COUNTIFS(AF11:AF34,"&gt;0",AF11:AF34,"&lt;&gt;N/A"),0)</f>
        <v>0.72222222222222221</v>
      </c>
      <c r="AF35" s="394"/>
    </row>
    <row r="36" spans="2:32" ht="35.25" customHeight="1" x14ac:dyDescent="0.3">
      <c r="B36" s="363" t="s">
        <v>122</v>
      </c>
      <c r="C36" s="363"/>
      <c r="D36" s="387"/>
      <c r="E36" s="363"/>
      <c r="F36" s="363"/>
      <c r="G36" s="442" t="s">
        <v>352</v>
      </c>
      <c r="H36" s="435"/>
      <c r="I36" s="435" t="s">
        <v>353</v>
      </c>
      <c r="J36" s="435"/>
      <c r="K36" s="435" t="s">
        <v>354</v>
      </c>
      <c r="L36" s="435"/>
      <c r="M36" s="435" t="s">
        <v>355</v>
      </c>
      <c r="N36" s="435"/>
      <c r="O36" s="435" t="s">
        <v>356</v>
      </c>
      <c r="P36" s="435"/>
      <c r="Q36" s="435" t="s">
        <v>357</v>
      </c>
      <c r="R36" s="435"/>
      <c r="S36" s="435" t="s">
        <v>358</v>
      </c>
      <c r="T36" s="435"/>
      <c r="U36" s="435" t="s">
        <v>359</v>
      </c>
      <c r="V36" s="435"/>
      <c r="W36" s="435" t="s">
        <v>360</v>
      </c>
      <c r="X36" s="435"/>
      <c r="Y36" s="435" t="s">
        <v>361</v>
      </c>
      <c r="Z36" s="435"/>
      <c r="AA36" s="435" t="s">
        <v>361</v>
      </c>
      <c r="AB36" s="435"/>
      <c r="AC36" s="435" t="s">
        <v>362</v>
      </c>
      <c r="AD36" s="435"/>
      <c r="AE36" s="435" t="s">
        <v>363</v>
      </c>
      <c r="AF36" s="435"/>
    </row>
    <row r="37" spans="2:32" x14ac:dyDescent="0.3">
      <c r="B37" s="363" t="s">
        <v>132</v>
      </c>
      <c r="C37" s="363"/>
      <c r="D37" s="387"/>
      <c r="E37" s="363"/>
      <c r="F37" s="363"/>
      <c r="G37" s="436">
        <v>35785</v>
      </c>
      <c r="H37" s="437"/>
      <c r="I37" s="437">
        <v>45501</v>
      </c>
      <c r="J37" s="437"/>
      <c r="K37" s="437">
        <v>45676</v>
      </c>
      <c r="L37" s="437"/>
      <c r="M37" s="437">
        <v>45347</v>
      </c>
      <c r="N37" s="437"/>
      <c r="O37" s="437">
        <v>45362</v>
      </c>
      <c r="P37" s="437"/>
      <c r="Q37" s="437">
        <v>46174</v>
      </c>
      <c r="R37" s="437"/>
      <c r="S37" s="437">
        <v>45823</v>
      </c>
      <c r="T37" s="437"/>
      <c r="U37" s="437">
        <v>45662</v>
      </c>
      <c r="V37" s="437"/>
      <c r="W37" s="437">
        <v>45662</v>
      </c>
      <c r="X37" s="437"/>
      <c r="Y37" s="437">
        <v>45950</v>
      </c>
      <c r="Z37" s="437"/>
      <c r="AA37" s="437">
        <v>45950</v>
      </c>
      <c r="AB37" s="437"/>
      <c r="AC37" s="437">
        <v>45599</v>
      </c>
      <c r="AD37" s="437"/>
      <c r="AE37" s="437">
        <v>45375</v>
      </c>
      <c r="AF37" s="437"/>
    </row>
  </sheetData>
  <mergeCells count="46">
    <mergeCell ref="B1:D1"/>
    <mergeCell ref="D10:AF10"/>
    <mergeCell ref="I5:J5"/>
    <mergeCell ref="K5:L5"/>
    <mergeCell ref="M5:N5"/>
    <mergeCell ref="O5:P5"/>
    <mergeCell ref="Q5:R5"/>
    <mergeCell ref="S5:T5"/>
    <mergeCell ref="W5:X5"/>
    <mergeCell ref="U5:V5"/>
    <mergeCell ref="AE5:AF5"/>
    <mergeCell ref="AC5:AD5"/>
    <mergeCell ref="AA5:AB5"/>
    <mergeCell ref="Y5:Z5"/>
    <mergeCell ref="E5:F5"/>
    <mergeCell ref="Y4:AF4"/>
    <mergeCell ref="G4:P4"/>
    <mergeCell ref="Q4:X4"/>
    <mergeCell ref="G5:H5"/>
    <mergeCell ref="AG19:AO19"/>
    <mergeCell ref="Y36:Z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AA36:AB36"/>
    <mergeCell ref="AC36:AD36"/>
    <mergeCell ref="AE36:AF36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AA37:AB37"/>
    <mergeCell ref="AC37:AD37"/>
    <mergeCell ref="AE37:AF37"/>
    <mergeCell ref="Y37:Z37"/>
  </mergeCells>
  <conditionalFormatting sqref="E11">
    <cfRule type="iconSet" priority="45">
      <iconSet showValue="0">
        <cfvo type="percent" val="0"/>
        <cfvo type="num" val="69"/>
        <cfvo type="num" val="78"/>
      </iconSet>
    </cfRule>
    <cfRule type="iconSet" priority="46">
      <iconSet showValue="0">
        <cfvo type="percent" val="0"/>
        <cfvo type="num" val="69"/>
        <cfvo type="num" val="78"/>
      </iconSet>
    </cfRule>
  </conditionalFormatting>
  <conditionalFormatting sqref="E12">
    <cfRule type="iconSet" priority="43">
      <iconSet showValue="0">
        <cfvo type="percent" val="0"/>
        <cfvo type="num" val="69"/>
        <cfvo type="num" val="78"/>
      </iconSet>
    </cfRule>
    <cfRule type="iconSet" priority="44">
      <iconSet showValue="0">
        <cfvo type="percent" val="0"/>
        <cfvo type="num" val="69"/>
        <cfvo type="num" val="78"/>
      </iconSet>
    </cfRule>
  </conditionalFormatting>
  <conditionalFormatting sqref="E13">
    <cfRule type="iconSet" priority="47">
      <iconSet showValue="0">
        <cfvo type="percent" val="0"/>
        <cfvo type="num" val="70"/>
        <cfvo type="num" val="75"/>
      </iconSet>
    </cfRule>
  </conditionalFormatting>
  <conditionalFormatting sqref="E15">
    <cfRule type="iconSet" priority="48">
      <iconSet showValue="0">
        <cfvo type="percent" val="0"/>
        <cfvo type="num" val="69"/>
        <cfvo type="num" val="78"/>
      </iconSet>
    </cfRule>
    <cfRule type="iconSet" priority="49">
      <iconSet showValue="0">
        <cfvo type="percent" val="0"/>
        <cfvo type="num" val="69"/>
        <cfvo type="num" val="78"/>
      </iconSet>
    </cfRule>
  </conditionalFormatting>
  <conditionalFormatting sqref="E16">
    <cfRule type="iconSet" priority="117">
      <iconSet showValue="0">
        <cfvo type="percent" val="0"/>
        <cfvo type="num" val="70"/>
        <cfvo type="num" val="75"/>
      </iconSet>
    </cfRule>
  </conditionalFormatting>
  <conditionalFormatting sqref="E17">
    <cfRule type="iconSet" priority="15">
      <iconSet showValue="0">
        <cfvo type="percent" val="0"/>
        <cfvo type="num" val="70"/>
        <cfvo type="num" val="75"/>
      </iconSet>
    </cfRule>
  </conditionalFormatting>
  <conditionalFormatting sqref="E18">
    <cfRule type="iconSet" priority="114">
      <iconSet showValue="0">
        <cfvo type="percent" val="0"/>
        <cfvo type="num" val="50"/>
        <cfvo type="num" val="50"/>
      </iconSet>
    </cfRule>
  </conditionalFormatting>
  <conditionalFormatting sqref="E20">
    <cfRule type="iconSet" priority="385">
      <iconSet showValue="0">
        <cfvo type="percent" val="0"/>
        <cfvo type="num" val="70"/>
        <cfvo type="num" val="75"/>
      </iconSet>
    </cfRule>
  </conditionalFormatting>
  <conditionalFormatting sqref="E21">
    <cfRule type="iconSet" priority="384">
      <iconSet showValue="0">
        <cfvo type="percent" val="0"/>
        <cfvo type="num" val="70"/>
        <cfvo type="num" val="75"/>
      </iconSet>
    </cfRule>
  </conditionalFormatting>
  <conditionalFormatting sqref="E22">
    <cfRule type="iconSet" priority="19">
      <iconSet showValue="0">
        <cfvo type="percent" val="0"/>
        <cfvo type="num" val="50"/>
        <cfvo type="num" val="50"/>
      </iconSet>
    </cfRule>
  </conditionalFormatting>
  <conditionalFormatting sqref="E23">
    <cfRule type="iconSet" priority="18">
      <iconSet showValue="0">
        <cfvo type="percent" val="0"/>
        <cfvo type="num" val="70"/>
        <cfvo type="num" val="75"/>
      </iconSet>
    </cfRule>
  </conditionalFormatting>
  <conditionalFormatting sqref="E25">
    <cfRule type="iconSet" priority="56">
      <iconSet showValue="0">
        <cfvo type="percent" val="0"/>
        <cfvo type="num" val="50"/>
        <cfvo type="num" val="50"/>
      </iconSet>
    </cfRule>
  </conditionalFormatting>
  <conditionalFormatting sqref="E26">
    <cfRule type="iconSet" priority="55">
      <iconSet showValue="0">
        <cfvo type="percent" val="0"/>
        <cfvo type="num" val="50"/>
        <cfvo type="num" val="50"/>
      </iconSet>
    </cfRule>
  </conditionalFormatting>
  <conditionalFormatting sqref="E27">
    <cfRule type="iconSet" priority="57">
      <iconSet showValue="0">
        <cfvo type="percent" val="0"/>
        <cfvo type="num" val="70"/>
        <cfvo type="num" val="75"/>
      </iconSet>
    </cfRule>
  </conditionalFormatting>
  <conditionalFormatting sqref="E28">
    <cfRule type="iconSet" priority="42">
      <iconSet showValue="0">
        <cfvo type="percent" val="0"/>
        <cfvo type="num" val="50"/>
        <cfvo type="num" val="50"/>
      </iconSet>
    </cfRule>
  </conditionalFormatting>
  <conditionalFormatting sqref="E29">
    <cfRule type="iconSet" priority="1">
      <iconSet showValue="0">
        <cfvo type="percent" val="0"/>
        <cfvo type="num" val="70"/>
        <cfvo type="num" val="75"/>
      </iconSet>
    </cfRule>
  </conditionalFormatting>
  <conditionalFormatting sqref="E31">
    <cfRule type="iconSet" priority="40">
      <iconSet showValue="0">
        <cfvo type="percent" val="0"/>
        <cfvo type="num" val="50"/>
        <cfvo type="num" val="50"/>
      </iconSet>
    </cfRule>
  </conditionalFormatting>
  <conditionalFormatting sqref="E32">
    <cfRule type="iconSet" priority="17">
      <iconSet showValue="0">
        <cfvo type="percent" val="0"/>
        <cfvo type="num" val="50"/>
        <cfvo type="num" val="50"/>
      </iconSet>
    </cfRule>
  </conditionalFormatting>
  <conditionalFormatting sqref="E34">
    <cfRule type="iconSet" priority="51">
      <iconSet showValue="0">
        <cfvo type="percent" val="0"/>
        <cfvo type="num" val="70"/>
        <cfvo type="num" val="75"/>
      </iconSet>
    </cfRule>
  </conditionalFormatting>
  <conditionalFormatting sqref="H12">
    <cfRule type="iconSet" priority="147">
      <iconSet showValue="0">
        <cfvo type="percent" val="0"/>
        <cfvo type="num" val="70"/>
        <cfvo type="num" val="75"/>
      </iconSet>
    </cfRule>
  </conditionalFormatting>
  <conditionalFormatting sqref="H15">
    <cfRule type="iconSet" priority="84">
      <iconSet showValue="0">
        <cfvo type="percent" val="0"/>
        <cfvo type="num" val="77"/>
        <cfvo type="num" val="78"/>
      </iconSet>
    </cfRule>
  </conditionalFormatting>
  <conditionalFormatting sqref="H16">
    <cfRule type="iconSet" priority="2507">
      <iconSet showValue="0">
        <cfvo type="percent" val="0"/>
        <cfvo type="num" val="77"/>
        <cfvo type="num" val="78"/>
      </iconSet>
    </cfRule>
  </conditionalFormatting>
  <conditionalFormatting sqref="H17">
    <cfRule type="iconSet" priority="13">
      <iconSet showValue="0">
        <cfvo type="percent" val="0"/>
        <cfvo type="num" val="69"/>
        <cfvo type="num" val="78"/>
      </iconSet>
    </cfRule>
    <cfRule type="iconSet" priority="14">
      <iconSet showValue="0">
        <cfvo type="percent" val="0"/>
        <cfvo type="num" val="69"/>
        <cfvo type="num" val="78"/>
      </iconSet>
    </cfRule>
  </conditionalFormatting>
  <conditionalFormatting sqref="H18">
    <cfRule type="iconSet" priority="97">
      <iconSet showValue="0">
        <cfvo type="percent" val="0"/>
        <cfvo type="num" val="77"/>
        <cfvo type="num" val="78"/>
      </iconSet>
    </cfRule>
  </conditionalFormatting>
  <conditionalFormatting sqref="H20">
    <cfRule type="iconSet" priority="261">
      <iconSet showValue="0">
        <cfvo type="percent" val="0"/>
        <cfvo type="num" val="50"/>
        <cfvo type="num" val="50"/>
      </iconSet>
    </cfRule>
  </conditionalFormatting>
  <conditionalFormatting sqref="H21:H22">
    <cfRule type="iconSet" priority="259">
      <iconSet showValue="0">
        <cfvo type="percent" val="0"/>
        <cfvo type="num" val="69"/>
        <cfvo type="num" val="78"/>
      </iconSet>
    </cfRule>
    <cfRule type="iconSet" priority="258">
      <iconSet showValue="0">
        <cfvo type="percent" val="0"/>
        <cfvo type="num" val="69"/>
        <cfvo type="num" val="78"/>
      </iconSet>
    </cfRule>
  </conditionalFormatting>
  <conditionalFormatting sqref="H23">
    <cfRule type="iconSet" priority="257">
      <iconSet showValue="0">
        <cfvo type="percent" val="0"/>
        <cfvo type="num" val="69"/>
        <cfvo type="num" val="78"/>
      </iconSet>
    </cfRule>
    <cfRule type="iconSet" priority="256">
      <iconSet showValue="0">
        <cfvo type="percent" val="0"/>
        <cfvo type="num" val="69"/>
        <cfvo type="num" val="78"/>
      </iconSet>
    </cfRule>
  </conditionalFormatting>
  <conditionalFormatting sqref="H26 J26 AB26">
    <cfRule type="iconSet" priority="2361">
      <iconSet showValue="0">
        <cfvo type="percent" val="0"/>
        <cfvo type="num" val="50"/>
        <cfvo type="num" val="100"/>
      </iconSet>
    </cfRule>
  </conditionalFormatting>
  <conditionalFormatting sqref="H27:H28">
    <cfRule type="iconSet" priority="186">
      <iconSet showValue="0">
        <cfvo type="percent" val="0"/>
        <cfvo type="num" val="50"/>
        <cfvo type="num" val="50"/>
      </iconSet>
    </cfRule>
  </conditionalFormatting>
  <conditionalFormatting sqref="H29">
    <cfRule type="iconSet" priority="75">
      <iconSet showValue="0">
        <cfvo type="percent" val="0"/>
        <cfvo type="num" val="69"/>
        <cfvo type="num" val="78"/>
      </iconSet>
    </cfRule>
    <cfRule type="iconSet" priority="76">
      <iconSet showValue="0">
        <cfvo type="percent" val="0"/>
        <cfvo type="num" val="69"/>
        <cfvo type="num" val="78"/>
      </iconSet>
    </cfRule>
  </conditionalFormatting>
  <conditionalFormatting sqref="H31">
    <cfRule type="iconSet" priority="132">
      <iconSet showValue="0">
        <cfvo type="percent" val="0"/>
        <cfvo type="num" val="50"/>
        <cfvo type="num" val="50"/>
      </iconSet>
    </cfRule>
  </conditionalFormatting>
  <conditionalFormatting sqref="J11:J12">
    <cfRule type="iconSet" priority="133">
      <iconSet showValue="0">
        <cfvo type="percent" val="0"/>
        <cfvo type="num" val="70"/>
        <cfvo type="num" val="75"/>
      </iconSet>
    </cfRule>
  </conditionalFormatting>
  <conditionalFormatting sqref="J15:J16">
    <cfRule type="iconSet" priority="102">
      <iconSet showValue="0">
        <cfvo type="percent" val="0"/>
        <cfvo type="num" val="77"/>
        <cfvo type="num" val="78"/>
      </iconSet>
    </cfRule>
  </conditionalFormatting>
  <conditionalFormatting sqref="J18">
    <cfRule type="iconSet" priority="96">
      <iconSet showValue="0">
        <cfvo type="percent" val="0"/>
        <cfvo type="num" val="77"/>
        <cfvo type="num" val="78"/>
      </iconSet>
    </cfRule>
  </conditionalFormatting>
  <conditionalFormatting sqref="J20">
    <cfRule type="iconSet" priority="305">
      <iconSet showValue="0">
        <cfvo type="percent" val="0"/>
        <cfvo type="num" val="70"/>
        <cfvo type="num" val="75"/>
      </iconSet>
    </cfRule>
  </conditionalFormatting>
  <conditionalFormatting sqref="J21:J22">
    <cfRule type="iconSet" priority="303">
      <iconSet showValue="0">
        <cfvo type="percent" val="0"/>
        <cfvo type="num" val="69"/>
        <cfvo type="num" val="78"/>
      </iconSet>
    </cfRule>
    <cfRule type="iconSet" priority="304">
      <iconSet showValue="0">
        <cfvo type="percent" val="0"/>
        <cfvo type="num" val="69"/>
        <cfvo type="num" val="78"/>
      </iconSet>
    </cfRule>
  </conditionalFormatting>
  <conditionalFormatting sqref="J23">
    <cfRule type="iconSet" priority="34">
      <iconSet showValue="0">
        <cfvo type="percent" val="0"/>
        <cfvo type="num" val="70"/>
        <cfvo type="num" val="75"/>
      </iconSet>
    </cfRule>
  </conditionalFormatting>
  <conditionalFormatting sqref="J25">
    <cfRule type="iconSet" priority="366">
      <iconSet showValue="0">
        <cfvo type="percent" val="0"/>
        <cfvo type="num" val="50"/>
        <cfvo type="num" val="50"/>
      </iconSet>
    </cfRule>
  </conditionalFormatting>
  <conditionalFormatting sqref="J27">
    <cfRule type="iconSet" priority="185">
      <iconSet showValue="0">
        <cfvo type="percent" val="0"/>
        <cfvo type="num" val="69"/>
        <cfvo type="num" val="78"/>
      </iconSet>
    </cfRule>
    <cfRule type="iconSet" priority="184">
      <iconSet showValue="0">
        <cfvo type="percent" val="0"/>
        <cfvo type="num" val="69"/>
        <cfvo type="num" val="78"/>
      </iconSet>
    </cfRule>
  </conditionalFormatting>
  <conditionalFormatting sqref="J28">
    <cfRule type="iconSet" priority="163">
      <iconSet showValue="0">
        <cfvo type="percent" val="0"/>
        <cfvo type="num" val="50"/>
        <cfvo type="num" val="50"/>
      </iconSet>
    </cfRule>
  </conditionalFormatting>
  <conditionalFormatting sqref="J29">
    <cfRule type="iconSet" priority="70">
      <iconSet showValue="0">
        <cfvo type="percent" val="0"/>
        <cfvo type="num" val="70"/>
        <cfvo type="num" val="75"/>
      </iconSet>
    </cfRule>
  </conditionalFormatting>
  <conditionalFormatting sqref="L11">
    <cfRule type="iconSet" priority="113">
      <iconSet showValue="0">
        <cfvo type="percent" val="0"/>
        <cfvo type="num" val="70"/>
        <cfvo type="num" val="75"/>
      </iconSet>
    </cfRule>
  </conditionalFormatting>
  <conditionalFormatting sqref="L12">
    <cfRule type="iconSet" priority="146">
      <iconSet showValue="0">
        <cfvo type="percent" val="0"/>
        <cfvo type="num" val="70"/>
        <cfvo type="num" val="75"/>
      </iconSet>
    </cfRule>
  </conditionalFormatting>
  <conditionalFormatting sqref="L13">
    <cfRule type="iconSet" priority="134">
      <iconSet showValue="0">
        <cfvo type="percent" val="0"/>
        <cfvo type="num" val="70"/>
        <cfvo type="num" val="75"/>
      </iconSet>
    </cfRule>
  </conditionalFormatting>
  <conditionalFormatting sqref="L15">
    <cfRule type="iconSet" priority="82">
      <iconSet showValue="0">
        <cfvo type="percent" val="0"/>
        <cfvo type="num" val="77"/>
        <cfvo type="num" val="78"/>
      </iconSet>
    </cfRule>
  </conditionalFormatting>
  <conditionalFormatting sqref="L16">
    <cfRule type="iconSet" priority="101">
      <iconSet showValue="0">
        <cfvo type="percent" val="0"/>
        <cfvo type="num" val="70"/>
        <cfvo type="num" val="75"/>
      </iconSet>
    </cfRule>
  </conditionalFormatting>
  <conditionalFormatting sqref="L17">
    <cfRule type="iconSet" priority="5">
      <iconSet showValue="0">
        <cfvo type="percent" val="0"/>
        <cfvo type="num" val="77"/>
        <cfvo type="num" val="78"/>
      </iconSet>
    </cfRule>
  </conditionalFormatting>
  <conditionalFormatting sqref="L18">
    <cfRule type="iconSet" priority="95">
      <iconSet showValue="0">
        <cfvo type="percent" val="0"/>
        <cfvo type="num" val="77"/>
        <cfvo type="num" val="78"/>
      </iconSet>
    </cfRule>
  </conditionalFormatting>
  <conditionalFormatting sqref="L20">
    <cfRule type="iconSet" priority="292">
      <iconSet showValue="0">
        <cfvo type="percent" val="0"/>
        <cfvo type="num" val="70"/>
        <cfvo type="num" val="75"/>
      </iconSet>
    </cfRule>
  </conditionalFormatting>
  <conditionalFormatting sqref="L21">
    <cfRule type="iconSet" priority="289">
      <iconSet showValue="0">
        <cfvo type="percent" val="0"/>
        <cfvo type="num" val="50"/>
        <cfvo type="num" val="50"/>
      </iconSet>
    </cfRule>
  </conditionalFormatting>
  <conditionalFormatting sqref="L22">
    <cfRule type="iconSet" priority="31">
      <iconSet showValue="0">
        <cfvo type="percent" val="0"/>
        <cfvo type="num" val="69"/>
        <cfvo type="num" val="78"/>
      </iconSet>
    </cfRule>
    <cfRule type="iconSet" priority="30">
      <iconSet showValue="0">
        <cfvo type="percent" val="0"/>
        <cfvo type="num" val="69"/>
        <cfvo type="num" val="78"/>
      </iconSet>
    </cfRule>
  </conditionalFormatting>
  <conditionalFormatting sqref="L23">
    <cfRule type="iconSet" priority="29">
      <iconSet showValue="0">
        <cfvo type="percent" val="0"/>
        <cfvo type="num" val="70"/>
        <cfvo type="num" val="75"/>
      </iconSet>
    </cfRule>
  </conditionalFormatting>
  <conditionalFormatting sqref="L25">
    <cfRule type="iconSet" priority="365">
      <iconSet showValue="0">
        <cfvo type="percent" val="0"/>
        <cfvo type="num" val="50"/>
        <cfvo type="num" val="50"/>
      </iconSet>
    </cfRule>
  </conditionalFormatting>
  <conditionalFormatting sqref="L26">
    <cfRule type="iconSet" priority="197">
      <iconSet showValue="0">
        <cfvo type="percent" val="0"/>
        <cfvo type="num" val="69"/>
        <cfvo type="num" val="78"/>
      </iconSet>
    </cfRule>
    <cfRule type="iconSet" priority="196">
      <iconSet showValue="0">
        <cfvo type="percent" val="0"/>
        <cfvo type="num" val="69"/>
        <cfvo type="num" val="78"/>
      </iconSet>
    </cfRule>
  </conditionalFormatting>
  <conditionalFormatting sqref="L27">
    <cfRule type="iconSet" priority="183">
      <iconSet showValue="0">
        <cfvo type="percent" val="0"/>
        <cfvo type="num" val="70"/>
        <cfvo type="num" val="75"/>
      </iconSet>
    </cfRule>
  </conditionalFormatting>
  <conditionalFormatting sqref="L28">
    <cfRule type="iconSet" priority="78">
      <iconSet showValue="0">
        <cfvo type="percent" val="0"/>
        <cfvo type="num" val="50"/>
        <cfvo type="num" val="50"/>
      </iconSet>
    </cfRule>
  </conditionalFormatting>
  <conditionalFormatting sqref="L29">
    <cfRule type="iconSet" priority="69">
      <iconSet showValue="0">
        <cfvo type="percent" val="0"/>
        <cfvo type="num" val="70"/>
        <cfvo type="num" val="75"/>
      </iconSet>
    </cfRule>
  </conditionalFormatting>
  <conditionalFormatting sqref="L31:L32">
    <cfRule type="iconSet" priority="128">
      <iconSet showValue="0">
        <cfvo type="percent" val="0"/>
        <cfvo type="num" val="69"/>
        <cfvo type="num" val="78"/>
      </iconSet>
    </cfRule>
    <cfRule type="iconSet" priority="129">
      <iconSet showValue="0">
        <cfvo type="percent" val="0"/>
        <cfvo type="num" val="69"/>
        <cfvo type="num" val="78"/>
      </iconSet>
    </cfRule>
  </conditionalFormatting>
  <conditionalFormatting sqref="N11">
    <cfRule type="iconSet" priority="112">
      <iconSet showValue="0">
        <cfvo type="percent" val="0"/>
        <cfvo type="num" val="70"/>
        <cfvo type="num" val="75"/>
      </iconSet>
    </cfRule>
  </conditionalFormatting>
  <conditionalFormatting sqref="N12">
    <cfRule type="iconSet" priority="145">
      <iconSet showValue="0">
        <cfvo type="percent" val="0"/>
        <cfvo type="num" val="70"/>
        <cfvo type="num" val="75"/>
      </iconSet>
    </cfRule>
  </conditionalFormatting>
  <conditionalFormatting sqref="N13">
    <cfRule type="iconSet" priority="85">
      <iconSet showValue="0">
        <cfvo type="percent" val="0"/>
        <cfvo type="num" val="67"/>
        <cfvo type="num" val="75"/>
      </iconSet>
    </cfRule>
  </conditionalFormatting>
  <conditionalFormatting sqref="N15">
    <cfRule type="iconSet" priority="80">
      <iconSet showValue="0">
        <cfvo type="percent" val="0"/>
        <cfvo type="num" val="77"/>
        <cfvo type="num" val="78"/>
      </iconSet>
    </cfRule>
  </conditionalFormatting>
  <conditionalFormatting sqref="N16">
    <cfRule type="iconSet" priority="100">
      <iconSet showValue="0">
        <cfvo type="percent" val="0"/>
        <cfvo type="num" val="70"/>
        <cfvo type="num" val="75"/>
      </iconSet>
    </cfRule>
  </conditionalFormatting>
  <conditionalFormatting sqref="N17">
    <cfRule type="iconSet" priority="4">
      <iconSet showValue="0">
        <cfvo type="percent" val="0"/>
        <cfvo type="num" val="77"/>
        <cfvo type="num" val="78"/>
      </iconSet>
    </cfRule>
  </conditionalFormatting>
  <conditionalFormatting sqref="N18">
    <cfRule type="iconSet" priority="94">
      <iconSet showValue="0">
        <cfvo type="percent" val="0"/>
        <cfvo type="num" val="77"/>
        <cfvo type="num" val="78"/>
      </iconSet>
    </cfRule>
  </conditionalFormatting>
  <conditionalFormatting sqref="N20">
    <cfRule type="iconSet" priority="284">
      <iconSet showValue="0">
        <cfvo type="percent" val="0"/>
        <cfvo type="num" val="70"/>
        <cfvo type="num" val="75"/>
      </iconSet>
    </cfRule>
  </conditionalFormatting>
  <conditionalFormatting sqref="N21:N22">
    <cfRule type="iconSet" priority="33">
      <iconSet showValue="0">
        <cfvo type="percent" val="0"/>
        <cfvo type="num" val="50"/>
        <cfvo type="num" val="50"/>
      </iconSet>
    </cfRule>
  </conditionalFormatting>
  <conditionalFormatting sqref="N23">
    <cfRule type="iconSet" priority="32">
      <iconSet showValue="0">
        <cfvo type="percent" val="0"/>
        <cfvo type="num" val="70"/>
        <cfvo type="num" val="75"/>
      </iconSet>
    </cfRule>
  </conditionalFormatting>
  <conditionalFormatting sqref="N25:N26">
    <cfRule type="iconSet" priority="364">
      <iconSet showValue="0">
        <cfvo type="percent" val="0"/>
        <cfvo type="num" val="50"/>
        <cfvo type="num" val="50"/>
      </iconSet>
    </cfRule>
  </conditionalFormatting>
  <conditionalFormatting sqref="N27">
    <cfRule type="iconSet" priority="181">
      <iconSet showValue="0">
        <cfvo type="percent" val="0"/>
        <cfvo type="num" val="69"/>
        <cfvo type="num" val="78"/>
      </iconSet>
    </cfRule>
    <cfRule type="iconSet" priority="182">
      <iconSet showValue="0">
        <cfvo type="percent" val="0"/>
        <cfvo type="num" val="69"/>
        <cfvo type="num" val="78"/>
      </iconSet>
    </cfRule>
  </conditionalFormatting>
  <conditionalFormatting sqref="N28">
    <cfRule type="iconSet" priority="161">
      <iconSet showValue="0">
        <cfvo type="percent" val="0"/>
        <cfvo type="num" val="70"/>
        <cfvo type="num" val="75"/>
      </iconSet>
    </cfRule>
  </conditionalFormatting>
  <conditionalFormatting sqref="N29">
    <cfRule type="iconSet" priority="67">
      <iconSet showValue="0">
        <cfvo type="percent" val="0"/>
        <cfvo type="num" val="69"/>
        <cfvo type="num" val="78"/>
      </iconSet>
    </cfRule>
    <cfRule type="iconSet" priority="68">
      <iconSet showValue="0">
        <cfvo type="percent" val="0"/>
        <cfvo type="num" val="69"/>
        <cfvo type="num" val="78"/>
      </iconSet>
    </cfRule>
  </conditionalFormatting>
  <conditionalFormatting sqref="N31">
    <cfRule type="iconSet" priority="131">
      <iconSet showValue="0">
        <cfvo type="percent" val="0"/>
        <cfvo type="num" val="50"/>
        <cfvo type="num" val="50"/>
      </iconSet>
    </cfRule>
  </conditionalFormatting>
  <conditionalFormatting sqref="N32">
    <cfRule type="iconSet" priority="38">
      <iconSet showValue="0">
        <cfvo type="percent" val="0"/>
        <cfvo type="num" val="69"/>
        <cfvo type="num" val="78"/>
      </iconSet>
    </cfRule>
    <cfRule type="iconSet" priority="39">
      <iconSet showValue="0">
        <cfvo type="percent" val="0"/>
        <cfvo type="num" val="69"/>
        <cfvo type="num" val="78"/>
      </iconSet>
    </cfRule>
  </conditionalFormatting>
  <conditionalFormatting sqref="P11">
    <cfRule type="iconSet" priority="111">
      <iconSet showValue="0">
        <cfvo type="percent" val="0"/>
        <cfvo type="num" val="70"/>
        <cfvo type="num" val="75"/>
      </iconSet>
    </cfRule>
  </conditionalFormatting>
  <conditionalFormatting sqref="P12">
    <cfRule type="iconSet" priority="141">
      <iconSet showValue="0">
        <cfvo type="percent" val="0"/>
        <cfvo type="num" val="70"/>
        <cfvo type="num" val="75"/>
      </iconSet>
    </cfRule>
  </conditionalFormatting>
  <conditionalFormatting sqref="P13 H13 J13">
    <cfRule type="iconSet" priority="151">
      <iconSet showValue="0">
        <cfvo type="percent" val="0"/>
        <cfvo type="num" val="67"/>
        <cfvo type="num" val="75"/>
      </iconSet>
    </cfRule>
  </conditionalFormatting>
  <conditionalFormatting sqref="P15">
    <cfRule type="iconSet" priority="79">
      <iconSet showValue="0">
        <cfvo type="percent" val="0"/>
        <cfvo type="num" val="77"/>
        <cfvo type="num" val="78"/>
      </iconSet>
    </cfRule>
  </conditionalFormatting>
  <conditionalFormatting sqref="P16">
    <cfRule type="iconSet" priority="2504">
      <iconSet showValue="0">
        <cfvo type="percent" val="0"/>
        <cfvo type="num" val="77"/>
        <cfvo type="num" val="78"/>
      </iconSet>
    </cfRule>
  </conditionalFormatting>
  <conditionalFormatting sqref="P17">
    <cfRule type="iconSet" priority="3">
      <iconSet showValue="0">
        <cfvo type="percent" val="0"/>
        <cfvo type="num" val="77"/>
        <cfvo type="num" val="78"/>
      </iconSet>
    </cfRule>
  </conditionalFormatting>
  <conditionalFormatting sqref="P18">
    <cfRule type="iconSet" priority="93">
      <iconSet showValue="0">
        <cfvo type="percent" val="0"/>
        <cfvo type="num" val="77"/>
        <cfvo type="num" val="78"/>
      </iconSet>
    </cfRule>
  </conditionalFormatting>
  <conditionalFormatting sqref="P20">
    <cfRule type="iconSet" priority="273">
      <iconSet showValue="0">
        <cfvo type="percent" val="0"/>
        <cfvo type="num" val="70"/>
        <cfvo type="num" val="75"/>
      </iconSet>
    </cfRule>
  </conditionalFormatting>
  <conditionalFormatting sqref="P21">
    <cfRule type="iconSet" priority="267">
      <iconSet showValue="0">
        <cfvo type="percent" val="0"/>
        <cfvo type="num" val="69"/>
        <cfvo type="num" val="78"/>
      </iconSet>
    </cfRule>
    <cfRule type="iconSet" priority="266">
      <iconSet showValue="0">
        <cfvo type="percent" val="0"/>
        <cfvo type="num" val="69"/>
        <cfvo type="num" val="78"/>
      </iconSet>
    </cfRule>
  </conditionalFormatting>
  <conditionalFormatting sqref="P22">
    <cfRule type="iconSet" priority="265">
      <iconSet showValue="0">
        <cfvo type="percent" val="0"/>
        <cfvo type="num" val="69"/>
        <cfvo type="num" val="78"/>
      </iconSet>
    </cfRule>
    <cfRule type="iconSet" priority="264">
      <iconSet showValue="0">
        <cfvo type="percent" val="0"/>
        <cfvo type="num" val="69"/>
        <cfvo type="num" val="78"/>
      </iconSet>
    </cfRule>
  </conditionalFormatting>
  <conditionalFormatting sqref="P23">
    <cfRule type="iconSet" priority="28">
      <iconSet showValue="0">
        <cfvo type="percent" val="0"/>
        <cfvo type="num" val="70"/>
        <cfvo type="num" val="75"/>
      </iconSet>
    </cfRule>
  </conditionalFormatting>
  <conditionalFormatting sqref="P25:P26">
    <cfRule type="iconSet" priority="362">
      <iconSet showValue="0">
        <cfvo type="percent" val="0"/>
        <cfvo type="num" val="69"/>
        <cfvo type="num" val="78"/>
      </iconSet>
    </cfRule>
    <cfRule type="iconSet" priority="363">
      <iconSet showValue="0">
        <cfvo type="percent" val="0"/>
        <cfvo type="num" val="69"/>
        <cfvo type="num" val="78"/>
      </iconSet>
    </cfRule>
  </conditionalFormatting>
  <conditionalFormatting sqref="P27">
    <cfRule type="iconSet" priority="180">
      <iconSet showValue="0">
        <cfvo type="percent" val="0"/>
        <cfvo type="num" val="69"/>
        <cfvo type="num" val="78"/>
      </iconSet>
    </cfRule>
    <cfRule type="iconSet" priority="179">
      <iconSet showValue="0">
        <cfvo type="percent" val="0"/>
        <cfvo type="num" val="69"/>
        <cfvo type="num" val="78"/>
      </iconSet>
    </cfRule>
  </conditionalFormatting>
  <conditionalFormatting sqref="P28">
    <cfRule type="iconSet" priority="160">
      <iconSet showValue="0">
        <cfvo type="percent" val="0"/>
        <cfvo type="num" val="50"/>
        <cfvo type="num" val="50"/>
      </iconSet>
    </cfRule>
  </conditionalFormatting>
  <conditionalFormatting sqref="P29">
    <cfRule type="iconSet" priority="74">
      <iconSet showValue="0">
        <cfvo type="percent" val="0"/>
        <cfvo type="num" val="69"/>
        <cfvo type="num" val="78"/>
      </iconSet>
    </cfRule>
    <cfRule type="iconSet" priority="73">
      <iconSet showValue="0">
        <cfvo type="percent" val="0"/>
        <cfvo type="num" val="69"/>
        <cfvo type="num" val="78"/>
      </iconSet>
    </cfRule>
  </conditionalFormatting>
  <conditionalFormatting sqref="P31">
    <cfRule type="iconSet" priority="130">
      <iconSet showValue="0">
        <cfvo type="percent" val="0"/>
        <cfvo type="num" val="50"/>
        <cfvo type="num" val="50"/>
      </iconSet>
    </cfRule>
  </conditionalFormatting>
  <conditionalFormatting sqref="P32 H32 J32">
    <cfRule type="iconSet" priority="509">
      <iconSet showValue="0">
        <cfvo type="percent" val="0"/>
        <cfvo type="num" val="50"/>
        <cfvo type="num" val="100"/>
      </iconSet>
    </cfRule>
  </conditionalFormatting>
  <conditionalFormatting sqref="R11">
    <cfRule type="iconSet" priority="110">
      <iconSet showValue="0">
        <cfvo type="percent" val="0"/>
        <cfvo type="num" val="70"/>
        <cfvo type="num" val="75"/>
      </iconSet>
    </cfRule>
  </conditionalFormatting>
  <conditionalFormatting sqref="R12">
    <cfRule type="iconSet" priority="144">
      <iconSet showValue="0">
        <cfvo type="percent" val="0"/>
        <cfvo type="num" val="70"/>
        <cfvo type="num" val="75"/>
      </iconSet>
    </cfRule>
  </conditionalFormatting>
  <conditionalFormatting sqref="R13">
    <cfRule type="iconSet" priority="135">
      <iconSet showValue="0">
        <cfvo type="percent" val="0"/>
        <cfvo type="num" val="70"/>
        <cfvo type="num" val="75"/>
      </iconSet>
    </cfRule>
  </conditionalFormatting>
  <conditionalFormatting sqref="R17 T17">
    <cfRule type="iconSet" priority="16">
      <iconSet showValue="0">
        <cfvo type="percent" val="0"/>
        <cfvo type="num" val="77"/>
        <cfvo type="num" val="78"/>
      </iconSet>
    </cfRule>
  </conditionalFormatting>
  <conditionalFormatting sqref="R18">
    <cfRule type="iconSet" priority="92">
      <iconSet showValue="0">
        <cfvo type="percent" val="0"/>
        <cfvo type="num" val="77"/>
        <cfvo type="num" val="78"/>
      </iconSet>
    </cfRule>
  </conditionalFormatting>
  <conditionalFormatting sqref="R20">
    <cfRule type="iconSet" priority="349">
      <iconSet showValue="0">
        <cfvo type="percent" val="0"/>
        <cfvo type="num" val="70"/>
        <cfvo type="num" val="75"/>
      </iconSet>
    </cfRule>
  </conditionalFormatting>
  <conditionalFormatting sqref="R21">
    <cfRule type="iconSet" priority="347">
      <iconSet showValue="0">
        <cfvo type="percent" val="0"/>
        <cfvo type="num" val="50"/>
        <cfvo type="num" val="50"/>
      </iconSet>
    </cfRule>
  </conditionalFormatting>
  <conditionalFormatting sqref="R22">
    <cfRule type="iconSet" priority="21">
      <iconSet showValue="0">
        <cfvo type="percent" val="0"/>
        <cfvo type="num" val="70"/>
        <cfvo type="num" val="75"/>
      </iconSet>
    </cfRule>
  </conditionalFormatting>
  <conditionalFormatting sqref="R23">
    <cfRule type="iconSet" priority="20">
      <iconSet showValue="0">
        <cfvo type="percent" val="0"/>
        <cfvo type="num" val="50"/>
        <cfvo type="num" val="50"/>
      </iconSet>
    </cfRule>
  </conditionalFormatting>
  <conditionalFormatting sqref="R25:R26">
    <cfRule type="iconSet" priority="361">
      <iconSet showValue="0">
        <cfvo type="percent" val="0"/>
        <cfvo type="num" val="50"/>
        <cfvo type="num" val="50"/>
      </iconSet>
    </cfRule>
  </conditionalFormatting>
  <conditionalFormatting sqref="R27">
    <cfRule type="iconSet" priority="178">
      <iconSet showValue="0">
        <cfvo type="percent" val="0"/>
        <cfvo type="num" val="69"/>
        <cfvo type="num" val="78"/>
      </iconSet>
    </cfRule>
    <cfRule type="iconSet" priority="177">
      <iconSet showValue="0">
        <cfvo type="percent" val="0"/>
        <cfvo type="num" val="69"/>
        <cfvo type="num" val="78"/>
      </iconSet>
    </cfRule>
  </conditionalFormatting>
  <conditionalFormatting sqref="R28">
    <cfRule type="iconSet" priority="159">
      <iconSet showValue="0">
        <cfvo type="percent" val="0"/>
        <cfvo type="num" val="70"/>
        <cfvo type="num" val="75"/>
      </iconSet>
    </cfRule>
  </conditionalFormatting>
  <conditionalFormatting sqref="R29">
    <cfRule type="iconSet" priority="60">
      <iconSet showValue="0">
        <cfvo type="percent" val="0"/>
        <cfvo type="num" val="69"/>
        <cfvo type="num" val="78"/>
      </iconSet>
    </cfRule>
    <cfRule type="iconSet" priority="59">
      <iconSet showValue="0">
        <cfvo type="percent" val="0"/>
        <cfvo type="num" val="69"/>
        <cfvo type="num" val="78"/>
      </iconSet>
    </cfRule>
  </conditionalFormatting>
  <conditionalFormatting sqref="R31">
    <cfRule type="iconSet" priority="127">
      <iconSet showValue="0">
        <cfvo type="percent" val="0"/>
        <cfvo type="num" val="50"/>
        <cfvo type="num" val="50"/>
      </iconSet>
    </cfRule>
  </conditionalFormatting>
  <conditionalFormatting sqref="R32">
    <cfRule type="iconSet" priority="36">
      <iconSet showValue="0">
        <cfvo type="percent" val="0"/>
        <cfvo type="num" val="50"/>
        <cfvo type="num" val="100"/>
      </iconSet>
    </cfRule>
  </conditionalFormatting>
  <conditionalFormatting sqref="T11">
    <cfRule type="iconSet" priority="109">
      <iconSet showValue="0">
        <cfvo type="percent" val="0"/>
        <cfvo type="num" val="70"/>
        <cfvo type="num" val="75"/>
      </iconSet>
    </cfRule>
  </conditionalFormatting>
  <conditionalFormatting sqref="T12">
    <cfRule type="iconSet" priority="142">
      <iconSet showValue="0">
        <cfvo type="percent" val="0"/>
        <cfvo type="num" val="70"/>
        <cfvo type="num" val="75"/>
      </iconSet>
    </cfRule>
  </conditionalFormatting>
  <conditionalFormatting sqref="T13">
    <cfRule type="iconSet" priority="136">
      <iconSet showValue="0">
        <cfvo type="percent" val="0"/>
        <cfvo type="num" val="70"/>
        <cfvo type="num" val="75"/>
      </iconSet>
    </cfRule>
  </conditionalFormatting>
  <conditionalFormatting sqref="T18">
    <cfRule type="iconSet" priority="91">
      <iconSet showValue="0">
        <cfvo type="percent" val="0"/>
        <cfvo type="num" val="77"/>
        <cfvo type="num" val="78"/>
      </iconSet>
    </cfRule>
  </conditionalFormatting>
  <conditionalFormatting sqref="T20">
    <cfRule type="iconSet" priority="337">
      <iconSet showValue="0">
        <cfvo type="percent" val="0"/>
        <cfvo type="num" val="70"/>
        <cfvo type="num" val="75"/>
      </iconSet>
    </cfRule>
  </conditionalFormatting>
  <conditionalFormatting sqref="T21">
    <cfRule type="iconSet" priority="331">
      <iconSet showValue="0">
        <cfvo type="percent" val="0"/>
        <cfvo type="num" val="50"/>
        <cfvo type="num" val="50"/>
      </iconSet>
    </cfRule>
  </conditionalFormatting>
  <conditionalFormatting sqref="T22:T23">
    <cfRule type="iconSet" priority="330">
      <iconSet showValue="0">
        <cfvo type="percent" val="0"/>
        <cfvo type="num" val="50"/>
        <cfvo type="num" val="50"/>
      </iconSet>
    </cfRule>
  </conditionalFormatting>
  <conditionalFormatting sqref="T25">
    <cfRule type="iconSet" priority="360">
      <iconSet showValue="0">
        <cfvo type="percent" val="0"/>
        <cfvo type="num" val="50"/>
        <cfvo type="num" val="50"/>
      </iconSet>
    </cfRule>
  </conditionalFormatting>
  <conditionalFormatting sqref="T26">
    <cfRule type="iconSet" priority="195">
      <iconSet showValue="0">
        <cfvo type="percent" val="0"/>
        <cfvo type="num" val="50"/>
        <cfvo type="num" val="50"/>
      </iconSet>
    </cfRule>
  </conditionalFormatting>
  <conditionalFormatting sqref="T27:T28">
    <cfRule type="iconSet" priority="175">
      <iconSet showValue="0">
        <cfvo type="percent" val="0"/>
        <cfvo type="num" val="69"/>
        <cfvo type="num" val="78"/>
      </iconSet>
    </cfRule>
    <cfRule type="iconSet" priority="176">
      <iconSet showValue="0">
        <cfvo type="percent" val="0"/>
        <cfvo type="num" val="69"/>
        <cfvo type="num" val="78"/>
      </iconSet>
    </cfRule>
  </conditionalFormatting>
  <conditionalFormatting sqref="T29">
    <cfRule type="iconSet" priority="71">
      <iconSet showValue="0">
        <cfvo type="percent" val="0"/>
        <cfvo type="num" val="69"/>
        <cfvo type="num" val="78"/>
      </iconSet>
    </cfRule>
    <cfRule type="iconSet" priority="72">
      <iconSet showValue="0">
        <cfvo type="percent" val="0"/>
        <cfvo type="num" val="69"/>
        <cfvo type="num" val="78"/>
      </iconSet>
    </cfRule>
  </conditionalFormatting>
  <conditionalFormatting sqref="T31">
    <cfRule type="iconSet" priority="123">
      <iconSet showValue="0">
        <cfvo type="percent" val="0"/>
        <cfvo type="num" val="69"/>
        <cfvo type="num" val="78"/>
      </iconSet>
    </cfRule>
    <cfRule type="iconSet" priority="124">
      <iconSet showValue="0">
        <cfvo type="percent" val="0"/>
        <cfvo type="num" val="69"/>
        <cfvo type="num" val="78"/>
      </iconSet>
    </cfRule>
  </conditionalFormatting>
  <conditionalFormatting sqref="T32">
    <cfRule type="iconSet" priority="37">
      <iconSet showValue="0">
        <cfvo type="percent" val="0"/>
        <cfvo type="num" val="50"/>
        <cfvo type="num" val="100"/>
      </iconSet>
    </cfRule>
  </conditionalFormatting>
  <conditionalFormatting sqref="V11">
    <cfRule type="iconSet" priority="108">
      <iconSet showValue="0">
        <cfvo type="percent" val="0"/>
        <cfvo type="num" val="70"/>
        <cfvo type="num" val="75"/>
      </iconSet>
    </cfRule>
  </conditionalFormatting>
  <conditionalFormatting sqref="V12">
    <cfRule type="iconSet" priority="143">
      <iconSet showValue="0">
        <cfvo type="percent" val="0"/>
        <cfvo type="num" val="70"/>
        <cfvo type="num" val="75"/>
      </iconSet>
    </cfRule>
  </conditionalFormatting>
  <conditionalFormatting sqref="V13">
    <cfRule type="iconSet" priority="137">
      <iconSet showValue="0">
        <cfvo type="percent" val="0"/>
        <cfvo type="num" val="70"/>
        <cfvo type="num" val="75"/>
      </iconSet>
    </cfRule>
  </conditionalFormatting>
  <conditionalFormatting sqref="V15">
    <cfRule type="iconSet" priority="81">
      <iconSet showValue="0">
        <cfvo type="percent" val="0"/>
        <cfvo type="num" val="77"/>
        <cfvo type="num" val="78"/>
      </iconSet>
    </cfRule>
  </conditionalFormatting>
  <conditionalFormatting sqref="V16">
    <cfRule type="iconSet" priority="99">
      <iconSet showValue="0">
        <cfvo type="percent" val="0"/>
        <cfvo type="num" val="70"/>
        <cfvo type="num" val="75"/>
      </iconSet>
    </cfRule>
  </conditionalFormatting>
  <conditionalFormatting sqref="V17">
    <cfRule type="iconSet" priority="8">
      <iconSet showValue="0">
        <cfvo type="percent" val="0"/>
        <cfvo type="num" val="70"/>
        <cfvo type="num" val="75"/>
      </iconSet>
    </cfRule>
  </conditionalFormatting>
  <conditionalFormatting sqref="V18">
    <cfRule type="iconSet" priority="90">
      <iconSet showValue="0">
        <cfvo type="percent" val="0"/>
        <cfvo type="num" val="77"/>
        <cfvo type="num" val="78"/>
      </iconSet>
    </cfRule>
  </conditionalFormatting>
  <conditionalFormatting sqref="V20:V21">
    <cfRule type="iconSet" priority="327">
      <iconSet showValue="0">
        <cfvo type="percent" val="0"/>
        <cfvo type="num" val="70"/>
        <cfvo type="num" val="75"/>
      </iconSet>
    </cfRule>
  </conditionalFormatting>
  <conditionalFormatting sqref="V22:V23">
    <cfRule type="iconSet" priority="321">
      <iconSet showValue="0">
        <cfvo type="percent" val="0"/>
        <cfvo type="num" val="50"/>
        <cfvo type="num" val="50"/>
      </iconSet>
    </cfRule>
  </conditionalFormatting>
  <conditionalFormatting sqref="V25:V26">
    <cfRule type="iconSet" priority="358">
      <iconSet showValue="0">
        <cfvo type="percent" val="0"/>
        <cfvo type="num" val="69"/>
        <cfvo type="num" val="78"/>
      </iconSet>
    </cfRule>
    <cfRule type="iconSet" priority="359">
      <iconSet showValue="0">
        <cfvo type="percent" val="0"/>
        <cfvo type="num" val="69"/>
        <cfvo type="num" val="78"/>
      </iconSet>
    </cfRule>
  </conditionalFormatting>
  <conditionalFormatting sqref="V27:V28">
    <cfRule type="iconSet" priority="173">
      <iconSet showValue="0">
        <cfvo type="percent" val="0"/>
        <cfvo type="num" val="69"/>
        <cfvo type="num" val="78"/>
      </iconSet>
    </cfRule>
    <cfRule type="iconSet" priority="174">
      <iconSet showValue="0">
        <cfvo type="percent" val="0"/>
        <cfvo type="num" val="69"/>
        <cfvo type="num" val="78"/>
      </iconSet>
    </cfRule>
  </conditionalFormatting>
  <conditionalFormatting sqref="V29">
    <cfRule type="iconSet" priority="66">
      <iconSet showValue="0">
        <cfvo type="percent" val="0"/>
        <cfvo type="num" val="70"/>
        <cfvo type="num" val="75"/>
      </iconSet>
    </cfRule>
  </conditionalFormatting>
  <conditionalFormatting sqref="V31">
    <cfRule type="iconSet" priority="126">
      <iconSet showValue="0">
        <cfvo type="percent" val="0"/>
        <cfvo type="num" val="50"/>
        <cfvo type="num" val="50"/>
      </iconSet>
    </cfRule>
  </conditionalFormatting>
  <conditionalFormatting sqref="V32">
    <cfRule type="iconSet" priority="2401">
      <iconSet showValue="0">
        <cfvo type="percent" val="0"/>
        <cfvo type="num" val="50"/>
        <cfvo type="num" val="100"/>
      </iconSet>
    </cfRule>
  </conditionalFormatting>
  <conditionalFormatting sqref="V34">
    <cfRule type="iconSet" priority="52">
      <iconSet showValue="0">
        <cfvo type="percent" val="0"/>
        <cfvo type="num" val="50"/>
        <cfvo type="num" val="100"/>
      </iconSet>
    </cfRule>
  </conditionalFormatting>
  <conditionalFormatting sqref="X11">
    <cfRule type="iconSet" priority="107">
      <iconSet showValue="0">
        <cfvo type="percent" val="0"/>
        <cfvo type="num" val="70"/>
        <cfvo type="num" val="75"/>
      </iconSet>
    </cfRule>
  </conditionalFormatting>
  <conditionalFormatting sqref="X12">
    <cfRule type="iconSet" priority="140">
      <iconSet showValue="0">
        <cfvo type="percent" val="0"/>
        <cfvo type="num" val="70"/>
        <cfvo type="num" val="75"/>
      </iconSet>
    </cfRule>
  </conditionalFormatting>
  <conditionalFormatting sqref="X13">
    <cfRule type="iconSet" priority="138">
      <iconSet showValue="0">
        <cfvo type="percent" val="0"/>
        <cfvo type="num" val="70"/>
        <cfvo type="num" val="75"/>
      </iconSet>
    </cfRule>
  </conditionalFormatting>
  <conditionalFormatting sqref="X15">
    <cfRule type="iconSet" priority="50">
      <iconSet showValue="0">
        <cfvo type="percent" val="0"/>
        <cfvo type="num" val="70"/>
        <cfvo type="num" val="75"/>
      </iconSet>
    </cfRule>
  </conditionalFormatting>
  <conditionalFormatting sqref="X17">
    <cfRule type="iconSet" priority="7">
      <iconSet showValue="0">
        <cfvo type="percent" val="0"/>
        <cfvo type="num" val="70"/>
        <cfvo type="num" val="75"/>
      </iconSet>
    </cfRule>
  </conditionalFormatting>
  <conditionalFormatting sqref="X18">
    <cfRule type="iconSet" priority="89">
      <iconSet showValue="0">
        <cfvo type="percent" val="0"/>
        <cfvo type="num" val="77"/>
        <cfvo type="num" val="78"/>
      </iconSet>
    </cfRule>
  </conditionalFormatting>
  <conditionalFormatting sqref="X20">
    <cfRule type="iconSet" priority="318">
      <iconSet showValue="0">
        <cfvo type="percent" val="0"/>
        <cfvo type="num" val="70"/>
        <cfvo type="num" val="75"/>
      </iconSet>
    </cfRule>
  </conditionalFormatting>
  <conditionalFormatting sqref="X21:X22">
    <cfRule type="iconSet" priority="311">
      <iconSet showValue="0">
        <cfvo type="percent" val="0"/>
        <cfvo type="num" val="69"/>
        <cfvo type="num" val="78"/>
      </iconSet>
    </cfRule>
    <cfRule type="iconSet" priority="312">
      <iconSet showValue="0">
        <cfvo type="percent" val="0"/>
        <cfvo type="num" val="69"/>
        <cfvo type="num" val="78"/>
      </iconSet>
    </cfRule>
  </conditionalFormatting>
  <conditionalFormatting sqref="X23">
    <cfRule type="iconSet" priority="315">
      <iconSet showValue="0">
        <cfvo type="percent" val="0"/>
        <cfvo type="num" val="70"/>
        <cfvo type="num" val="75"/>
      </iconSet>
    </cfRule>
  </conditionalFormatting>
  <conditionalFormatting sqref="X25">
    <cfRule type="iconSet" priority="356">
      <iconSet showValue="0">
        <cfvo type="percent" val="0"/>
        <cfvo type="num" val="69"/>
        <cfvo type="num" val="78"/>
      </iconSet>
    </cfRule>
    <cfRule type="iconSet" priority="357">
      <iconSet showValue="0">
        <cfvo type="percent" val="0"/>
        <cfvo type="num" val="69"/>
        <cfvo type="num" val="78"/>
      </iconSet>
    </cfRule>
  </conditionalFormatting>
  <conditionalFormatting sqref="X26">
    <cfRule type="iconSet" priority="194">
      <iconSet showValue="0">
        <cfvo type="percent" val="0"/>
        <cfvo type="num" val="69"/>
        <cfvo type="num" val="78"/>
      </iconSet>
    </cfRule>
    <cfRule type="iconSet" priority="193">
      <iconSet showValue="0">
        <cfvo type="percent" val="0"/>
        <cfvo type="num" val="69"/>
        <cfvo type="num" val="78"/>
      </iconSet>
    </cfRule>
  </conditionalFormatting>
  <conditionalFormatting sqref="X27:X28">
    <cfRule type="iconSet" priority="172">
      <iconSet showValue="0">
        <cfvo type="percent" val="0"/>
        <cfvo type="num" val="69"/>
        <cfvo type="num" val="78"/>
      </iconSet>
    </cfRule>
    <cfRule type="iconSet" priority="171">
      <iconSet showValue="0">
        <cfvo type="percent" val="0"/>
        <cfvo type="num" val="69"/>
        <cfvo type="num" val="78"/>
      </iconSet>
    </cfRule>
  </conditionalFormatting>
  <conditionalFormatting sqref="X29">
    <cfRule type="iconSet" priority="64">
      <iconSet showValue="0">
        <cfvo type="percent" val="0"/>
        <cfvo type="num" val="69"/>
        <cfvo type="num" val="78"/>
      </iconSet>
    </cfRule>
    <cfRule type="iconSet" priority="65">
      <iconSet showValue="0">
        <cfvo type="percent" val="0"/>
        <cfvo type="num" val="69"/>
        <cfvo type="num" val="78"/>
      </iconSet>
    </cfRule>
  </conditionalFormatting>
  <conditionalFormatting sqref="X31">
    <cfRule type="iconSet" priority="125">
      <iconSet showValue="0">
        <cfvo type="percent" val="0"/>
        <cfvo type="num" val="50"/>
        <cfvo type="num" val="50"/>
      </iconSet>
    </cfRule>
  </conditionalFormatting>
  <conditionalFormatting sqref="X32">
    <cfRule type="iconSet" priority="35">
      <iconSet showValue="0">
        <cfvo type="percent" val="0"/>
        <cfvo type="num" val="50"/>
        <cfvo type="num" val="100"/>
      </iconSet>
    </cfRule>
  </conditionalFormatting>
  <conditionalFormatting sqref="X35 Z35 AB35">
    <cfRule type="iconSet" priority="2">
      <iconSet showValue="0">
        <cfvo type="percent" val="0"/>
        <cfvo type="num" val="50"/>
        <cfvo type="num" val="100"/>
      </iconSet>
    </cfRule>
  </conditionalFormatting>
  <conditionalFormatting sqref="Z11">
    <cfRule type="iconSet" priority="106">
      <iconSet showValue="0">
        <cfvo type="percent" val="0"/>
        <cfvo type="num" val="70"/>
        <cfvo type="num" val="75"/>
      </iconSet>
    </cfRule>
  </conditionalFormatting>
  <conditionalFormatting sqref="Z15">
    <cfRule type="iconSet" priority="83">
      <iconSet showValue="0">
        <cfvo type="percent" val="0"/>
        <cfvo type="num" val="77"/>
        <cfvo type="num" val="78"/>
      </iconSet>
    </cfRule>
  </conditionalFormatting>
  <conditionalFormatting sqref="Z16">
    <cfRule type="iconSet" priority="98">
      <iconSet showValue="0">
        <cfvo type="percent" val="0"/>
        <cfvo type="num" val="70"/>
        <cfvo type="num" val="75"/>
      </iconSet>
    </cfRule>
  </conditionalFormatting>
  <conditionalFormatting sqref="Z17">
    <cfRule type="iconSet" priority="6">
      <iconSet showValue="0">
        <cfvo type="percent" val="0"/>
        <cfvo type="num" val="70"/>
        <cfvo type="num" val="75"/>
      </iconSet>
    </cfRule>
  </conditionalFormatting>
  <conditionalFormatting sqref="Z18">
    <cfRule type="iconSet" priority="88">
      <iconSet showValue="0">
        <cfvo type="percent" val="0"/>
        <cfvo type="num" val="77"/>
        <cfvo type="num" val="78"/>
      </iconSet>
    </cfRule>
  </conditionalFormatting>
  <conditionalFormatting sqref="Z20">
    <cfRule type="iconSet" priority="221">
      <iconSet showValue="0">
        <cfvo type="percent" val="0"/>
        <cfvo type="num" val="50"/>
        <cfvo type="num" val="50"/>
      </iconSet>
    </cfRule>
  </conditionalFormatting>
  <conditionalFormatting sqref="Z21">
    <cfRule type="iconSet" priority="24">
      <iconSet showValue="0">
        <cfvo type="percent" val="0"/>
        <cfvo type="num" val="70"/>
        <cfvo type="num" val="75"/>
      </iconSet>
    </cfRule>
  </conditionalFormatting>
  <conditionalFormatting sqref="Z22:Z23">
    <cfRule type="iconSet" priority="220">
      <iconSet showValue="0">
        <cfvo type="percent" val="0"/>
        <cfvo type="num" val="50"/>
        <cfvo type="num" val="50"/>
      </iconSet>
    </cfRule>
  </conditionalFormatting>
  <conditionalFormatting sqref="Z25">
    <cfRule type="iconSet" priority="355">
      <iconSet showValue="0">
        <cfvo type="percent" val="0"/>
        <cfvo type="num" val="50"/>
        <cfvo type="num" val="50"/>
      </iconSet>
    </cfRule>
  </conditionalFormatting>
  <conditionalFormatting sqref="Z26">
    <cfRule type="iconSet" priority="191">
      <iconSet showValue="0">
        <cfvo type="percent" val="0"/>
        <cfvo type="num" val="69"/>
        <cfvo type="num" val="78"/>
      </iconSet>
    </cfRule>
    <cfRule type="iconSet" priority="192">
      <iconSet showValue="0">
        <cfvo type="percent" val="0"/>
        <cfvo type="num" val="69"/>
        <cfvo type="num" val="78"/>
      </iconSet>
    </cfRule>
  </conditionalFormatting>
  <conditionalFormatting sqref="Z27">
    <cfRule type="iconSet" priority="170">
      <iconSet showValue="0">
        <cfvo type="percent" val="0"/>
        <cfvo type="num" val="70"/>
        <cfvo type="num" val="75"/>
      </iconSet>
    </cfRule>
  </conditionalFormatting>
  <conditionalFormatting sqref="Z28">
    <cfRule type="iconSet" priority="157">
      <iconSet showValue="0">
        <cfvo type="percent" val="0"/>
        <cfvo type="num" val="50"/>
        <cfvo type="num" val="50"/>
      </iconSet>
    </cfRule>
  </conditionalFormatting>
  <conditionalFormatting sqref="Z29">
    <cfRule type="iconSet" priority="62">
      <iconSet showValue="0">
        <cfvo type="percent" val="0"/>
        <cfvo type="num" val="69"/>
        <cfvo type="num" val="78"/>
      </iconSet>
    </cfRule>
    <cfRule type="iconSet" priority="63">
      <iconSet showValue="0">
        <cfvo type="percent" val="0"/>
        <cfvo type="num" val="69"/>
        <cfvo type="num" val="78"/>
      </iconSet>
    </cfRule>
  </conditionalFormatting>
  <conditionalFormatting sqref="Z31">
    <cfRule type="iconSet" priority="122">
      <iconSet showValue="0">
        <cfvo type="percent" val="0"/>
        <cfvo type="num" val="50"/>
        <cfvo type="num" val="50"/>
      </iconSet>
    </cfRule>
  </conditionalFormatting>
  <conditionalFormatting sqref="AB11">
    <cfRule type="iconSet" priority="105">
      <iconSet showValue="0">
        <cfvo type="percent" val="0"/>
        <cfvo type="num" val="70"/>
        <cfvo type="num" val="75"/>
      </iconSet>
    </cfRule>
  </conditionalFormatting>
  <conditionalFormatting sqref="AB12">
    <cfRule type="iconSet" priority="139">
      <iconSet showValue="0">
        <cfvo type="percent" val="0"/>
        <cfvo type="num" val="70"/>
        <cfvo type="num" val="75"/>
      </iconSet>
    </cfRule>
  </conditionalFormatting>
  <conditionalFormatting sqref="AB18">
    <cfRule type="iconSet" priority="87">
      <iconSet showValue="0">
        <cfvo type="percent" val="0"/>
        <cfvo type="num" val="77"/>
        <cfvo type="num" val="78"/>
      </iconSet>
    </cfRule>
  </conditionalFormatting>
  <conditionalFormatting sqref="AB20">
    <cfRule type="iconSet" priority="23">
      <iconSet showValue="0">
        <cfvo type="percent" val="0"/>
        <cfvo type="num" val="50"/>
        <cfvo type="num" val="50"/>
      </iconSet>
    </cfRule>
  </conditionalFormatting>
  <conditionalFormatting sqref="AB21">
    <cfRule type="iconSet" priority="205">
      <iconSet showValue="0">
        <cfvo type="percent" val="0"/>
        <cfvo type="num" val="69"/>
        <cfvo type="num" val="78"/>
      </iconSet>
    </cfRule>
    <cfRule type="iconSet" priority="204">
      <iconSet showValue="0">
        <cfvo type="percent" val="0"/>
        <cfvo type="num" val="69"/>
        <cfvo type="num" val="78"/>
      </iconSet>
    </cfRule>
  </conditionalFormatting>
  <conditionalFormatting sqref="AB22">
    <cfRule type="iconSet" priority="203">
      <iconSet showValue="0">
        <cfvo type="percent" val="0"/>
        <cfvo type="num" val="69"/>
        <cfvo type="num" val="78"/>
      </iconSet>
    </cfRule>
    <cfRule type="iconSet" priority="202">
      <iconSet showValue="0">
        <cfvo type="percent" val="0"/>
        <cfvo type="num" val="69"/>
        <cfvo type="num" val="78"/>
      </iconSet>
    </cfRule>
  </conditionalFormatting>
  <conditionalFormatting sqref="AB23">
    <cfRule type="iconSet" priority="22">
      <iconSet showValue="0">
        <cfvo type="percent" val="0"/>
        <cfvo type="num" val="50"/>
        <cfvo type="num" val="50"/>
      </iconSet>
    </cfRule>
  </conditionalFormatting>
  <conditionalFormatting sqref="AB25">
    <cfRule type="iconSet" priority="354">
      <iconSet showValue="0">
        <cfvo type="percent" val="0"/>
        <cfvo type="num" val="69"/>
        <cfvo type="num" val="78"/>
      </iconSet>
    </cfRule>
    <cfRule type="iconSet" priority="353">
      <iconSet showValue="0">
        <cfvo type="percent" val="0"/>
        <cfvo type="num" val="69"/>
        <cfvo type="num" val="78"/>
      </iconSet>
    </cfRule>
  </conditionalFormatting>
  <conditionalFormatting sqref="AB27">
    <cfRule type="iconSet" priority="169">
      <iconSet showValue="0">
        <cfvo type="percent" val="0"/>
        <cfvo type="num" val="69"/>
        <cfvo type="num" val="78"/>
      </iconSet>
    </cfRule>
    <cfRule type="iconSet" priority="168">
      <iconSet showValue="0">
        <cfvo type="percent" val="0"/>
        <cfvo type="num" val="69"/>
        <cfvo type="num" val="78"/>
      </iconSet>
    </cfRule>
  </conditionalFormatting>
  <conditionalFormatting sqref="AB28">
    <cfRule type="iconSet" priority="156">
      <iconSet showValue="0">
        <cfvo type="percent" val="0"/>
        <cfvo type="num" val="50"/>
        <cfvo type="num" val="50"/>
      </iconSet>
    </cfRule>
  </conditionalFormatting>
  <conditionalFormatting sqref="AB29">
    <cfRule type="iconSet" priority="61">
      <iconSet showValue="0">
        <cfvo type="percent" val="0"/>
        <cfvo type="num" val="70"/>
        <cfvo type="num" val="75"/>
      </iconSet>
    </cfRule>
  </conditionalFormatting>
  <conditionalFormatting sqref="AB31 J31">
    <cfRule type="iconSet" priority="2332">
      <iconSet showValue="0">
        <cfvo type="percent" val="0"/>
        <cfvo type="num" val="50"/>
        <cfvo type="num" val="100"/>
      </iconSet>
    </cfRule>
  </conditionalFormatting>
  <conditionalFormatting sqref="AD11">
    <cfRule type="iconSet" priority="104">
      <iconSet showValue="0">
        <cfvo type="percent" val="0"/>
        <cfvo type="num" val="70"/>
        <cfvo type="num" val="75"/>
      </iconSet>
    </cfRule>
  </conditionalFormatting>
  <conditionalFormatting sqref="AD12 Z12">
    <cfRule type="iconSet" priority="152">
      <iconSet showValue="0">
        <cfvo type="percent" val="0"/>
        <cfvo type="num" val="67"/>
        <cfvo type="num" val="75"/>
      </iconSet>
    </cfRule>
  </conditionalFormatting>
  <conditionalFormatting sqref="AD13 AB13 Z13">
    <cfRule type="iconSet" priority="153">
      <iconSet showValue="0">
        <cfvo type="percent" val="0"/>
        <cfvo type="num" val="67"/>
        <cfvo type="num" val="75"/>
      </iconSet>
    </cfRule>
  </conditionalFormatting>
  <conditionalFormatting sqref="AD17">
    <cfRule type="iconSet" priority="12">
      <iconSet showValue="0">
        <cfvo type="percent" val="0"/>
        <cfvo type="num" val="69"/>
        <cfvo type="num" val="78"/>
      </iconSet>
    </cfRule>
    <cfRule type="iconSet" priority="11">
      <iconSet showValue="0">
        <cfvo type="percent" val="0"/>
        <cfvo type="num" val="69"/>
        <cfvo type="num" val="78"/>
      </iconSet>
    </cfRule>
  </conditionalFormatting>
  <conditionalFormatting sqref="AD18">
    <cfRule type="iconSet" priority="86">
      <iconSet showValue="0">
        <cfvo type="percent" val="0"/>
        <cfvo type="num" val="77"/>
        <cfvo type="num" val="78"/>
      </iconSet>
    </cfRule>
  </conditionalFormatting>
  <conditionalFormatting sqref="AD20">
    <cfRule type="iconSet" priority="247">
      <iconSet showValue="0">
        <cfvo type="percent" val="0"/>
        <cfvo type="num" val="70"/>
        <cfvo type="num" val="75"/>
      </iconSet>
    </cfRule>
  </conditionalFormatting>
  <conditionalFormatting sqref="AD21">
    <cfRule type="iconSet" priority="26">
      <iconSet showValue="0">
        <cfvo type="percent" val="0"/>
        <cfvo type="num" val="69"/>
        <cfvo type="num" val="78"/>
      </iconSet>
    </cfRule>
    <cfRule type="iconSet" priority="27">
      <iconSet showValue="0">
        <cfvo type="percent" val="0"/>
        <cfvo type="num" val="69"/>
        <cfvo type="num" val="78"/>
      </iconSet>
    </cfRule>
  </conditionalFormatting>
  <conditionalFormatting sqref="AD22:AD23">
    <cfRule type="iconSet" priority="244">
      <iconSet showValue="0">
        <cfvo type="percent" val="0"/>
        <cfvo type="num" val="50"/>
        <cfvo type="num" val="50"/>
      </iconSet>
    </cfRule>
  </conditionalFormatting>
  <conditionalFormatting sqref="AD25">
    <cfRule type="iconSet" priority="352">
      <iconSet showValue="0">
        <cfvo type="percent" val="0"/>
        <cfvo type="num" val="50"/>
        <cfvo type="num" val="50"/>
      </iconSet>
    </cfRule>
  </conditionalFormatting>
  <conditionalFormatting sqref="AD26">
    <cfRule type="iconSet" priority="190">
      <iconSet showValue="0">
        <cfvo type="percent" val="0"/>
        <cfvo type="num" val="69"/>
        <cfvo type="num" val="78"/>
      </iconSet>
    </cfRule>
    <cfRule type="iconSet" priority="189">
      <iconSet showValue="0">
        <cfvo type="percent" val="0"/>
        <cfvo type="num" val="69"/>
        <cfvo type="num" val="78"/>
      </iconSet>
    </cfRule>
  </conditionalFormatting>
  <conditionalFormatting sqref="AD27">
    <cfRule type="iconSet" priority="166">
      <iconSet showValue="0">
        <cfvo type="percent" val="0"/>
        <cfvo type="num" val="69"/>
        <cfvo type="num" val="78"/>
      </iconSet>
    </cfRule>
    <cfRule type="iconSet" priority="167">
      <iconSet showValue="0">
        <cfvo type="percent" val="0"/>
        <cfvo type="num" val="69"/>
        <cfvo type="num" val="78"/>
      </iconSet>
    </cfRule>
  </conditionalFormatting>
  <conditionalFormatting sqref="AD28:AD29">
    <cfRule type="iconSet" priority="155">
      <iconSet showValue="0">
        <cfvo type="percent" val="0"/>
        <cfvo type="num" val="70"/>
        <cfvo type="num" val="75"/>
      </iconSet>
    </cfRule>
  </conditionalFormatting>
  <conditionalFormatting sqref="AD31">
    <cfRule type="iconSet" priority="121">
      <iconSet showValue="0">
        <cfvo type="percent" val="0"/>
        <cfvo type="num" val="69"/>
        <cfvo type="num" val="78"/>
      </iconSet>
    </cfRule>
    <cfRule type="iconSet" priority="120">
      <iconSet showValue="0">
        <cfvo type="percent" val="0"/>
        <cfvo type="num" val="69"/>
        <cfvo type="num" val="78"/>
      </iconSet>
    </cfRule>
  </conditionalFormatting>
  <conditionalFormatting sqref="AD32 AB32 Z32">
    <cfRule type="iconSet" priority="2384">
      <iconSet showValue="0">
        <cfvo type="percent" val="0"/>
        <cfvo type="num" val="100"/>
        <cfvo type="num" val="100"/>
      </iconSet>
    </cfRule>
    <cfRule type="iconSet" priority="2385">
      <iconSet>
        <cfvo type="percent" val="0"/>
        <cfvo type="percent" val="33"/>
        <cfvo type="percent" val="67"/>
      </iconSet>
    </cfRule>
  </conditionalFormatting>
  <conditionalFormatting sqref="AF11">
    <cfRule type="iconSet" priority="103">
      <iconSet showValue="0">
        <cfvo type="percent" val="0"/>
        <cfvo type="num" val="70"/>
        <cfvo type="num" val="75"/>
      </iconSet>
    </cfRule>
  </conditionalFormatting>
  <conditionalFormatting sqref="AF12:AF13">
    <cfRule type="iconSet" priority="148">
      <iconSet showValue="0">
        <cfvo type="percent" val="0"/>
        <cfvo type="num" val="67"/>
        <cfvo type="num" val="75"/>
      </iconSet>
    </cfRule>
  </conditionalFormatting>
  <conditionalFormatting sqref="AF15:AF16 AD15:AD16 AB15:AB16 X16 T15:T16 R15:R16">
    <cfRule type="iconSet" priority="2298">
      <iconSet showValue="0">
        <cfvo type="percent" val="0"/>
        <cfvo type="num" val="77"/>
        <cfvo type="num" val="78"/>
      </iconSet>
    </cfRule>
  </conditionalFormatting>
  <conditionalFormatting sqref="AF17">
    <cfRule type="iconSet" priority="10">
      <iconSet showValue="0">
        <cfvo type="percent" val="0"/>
        <cfvo type="num" val="69"/>
        <cfvo type="num" val="78"/>
      </iconSet>
    </cfRule>
    <cfRule type="iconSet" priority="9">
      <iconSet showValue="0">
        <cfvo type="percent" val="0"/>
        <cfvo type="num" val="69"/>
        <cfvo type="num" val="78"/>
      </iconSet>
    </cfRule>
  </conditionalFormatting>
  <conditionalFormatting sqref="AF18">
    <cfRule type="iconSet" priority="2309">
      <iconSet showValue="0">
        <cfvo type="percent" val="0"/>
        <cfvo type="num" val="50"/>
        <cfvo type="num" val="50"/>
      </iconSet>
    </cfRule>
  </conditionalFormatting>
  <conditionalFormatting sqref="AF20">
    <cfRule type="iconSet" priority="235">
      <iconSet showValue="0">
        <cfvo type="percent" val="0"/>
        <cfvo type="num" val="70"/>
        <cfvo type="num" val="75"/>
      </iconSet>
    </cfRule>
  </conditionalFormatting>
  <conditionalFormatting sqref="AF21">
    <cfRule type="iconSet" priority="228">
      <iconSet showValue="0">
        <cfvo type="percent" val="0"/>
        <cfvo type="num" val="69"/>
        <cfvo type="num" val="78"/>
      </iconSet>
    </cfRule>
    <cfRule type="iconSet" priority="229">
      <iconSet showValue="0">
        <cfvo type="percent" val="0"/>
        <cfvo type="num" val="69"/>
        <cfvo type="num" val="78"/>
      </iconSet>
    </cfRule>
  </conditionalFormatting>
  <conditionalFormatting sqref="AF22">
    <cfRule type="iconSet" priority="227">
      <iconSet showValue="0">
        <cfvo type="percent" val="0"/>
        <cfvo type="num" val="69"/>
        <cfvo type="num" val="78"/>
      </iconSet>
    </cfRule>
    <cfRule type="iconSet" priority="226">
      <iconSet showValue="0">
        <cfvo type="percent" val="0"/>
        <cfvo type="num" val="69"/>
        <cfvo type="num" val="78"/>
      </iconSet>
    </cfRule>
  </conditionalFormatting>
  <conditionalFormatting sqref="AF23">
    <cfRule type="iconSet" priority="25">
      <iconSet showValue="0">
        <cfvo type="percent" val="0"/>
        <cfvo type="num" val="50"/>
        <cfvo type="num" val="50"/>
      </iconSet>
    </cfRule>
  </conditionalFormatting>
  <conditionalFormatting sqref="AF25">
    <cfRule type="iconSet" priority="350">
      <iconSet showValue="0">
        <cfvo type="percent" val="0"/>
        <cfvo type="num" val="69"/>
        <cfvo type="num" val="78"/>
      </iconSet>
    </cfRule>
    <cfRule type="iconSet" priority="351">
      <iconSet showValue="0">
        <cfvo type="percent" val="0"/>
        <cfvo type="num" val="69"/>
        <cfvo type="num" val="78"/>
      </iconSet>
    </cfRule>
  </conditionalFormatting>
  <conditionalFormatting sqref="AF26">
    <cfRule type="iconSet" priority="187">
      <iconSet showValue="0">
        <cfvo type="percent" val="0"/>
        <cfvo type="num" val="69"/>
        <cfvo type="num" val="78"/>
      </iconSet>
    </cfRule>
    <cfRule type="iconSet" priority="188">
      <iconSet showValue="0">
        <cfvo type="percent" val="0"/>
        <cfvo type="num" val="69"/>
        <cfvo type="num" val="78"/>
      </iconSet>
    </cfRule>
  </conditionalFormatting>
  <conditionalFormatting sqref="AF27">
    <cfRule type="iconSet" priority="164">
      <iconSet showValue="0">
        <cfvo type="percent" val="0"/>
        <cfvo type="num" val="69"/>
        <cfvo type="num" val="78"/>
      </iconSet>
    </cfRule>
    <cfRule type="iconSet" priority="165">
      <iconSet showValue="0">
        <cfvo type="percent" val="0"/>
        <cfvo type="num" val="69"/>
        <cfvo type="num" val="78"/>
      </iconSet>
    </cfRule>
  </conditionalFormatting>
  <conditionalFormatting sqref="AF28:AF29">
    <cfRule type="iconSet" priority="154">
      <iconSet showValue="0">
        <cfvo type="percent" val="0"/>
        <cfvo type="num" val="50"/>
        <cfvo type="num" val="50"/>
      </iconSet>
    </cfRule>
  </conditionalFormatting>
  <conditionalFormatting sqref="AF31">
    <cfRule type="iconSet" priority="119">
      <iconSet showValue="0">
        <cfvo type="percent" val="0"/>
        <cfvo type="num" val="50"/>
        <cfvo type="num" val="50"/>
      </iconSet>
    </cfRule>
  </conditionalFormatting>
  <conditionalFormatting sqref="AF32">
    <cfRule type="iconSet" priority="2345">
      <iconSet showValue="0">
        <cfvo type="percent" val="0"/>
        <cfvo type="num" val="100"/>
        <cfvo type="num" val="100"/>
      </iconSet>
    </cfRule>
    <cfRule type="iconSet" priority="2346">
      <iconSet>
        <cfvo type="percent" val="0"/>
        <cfvo type="percent" val="33"/>
        <cfvo type="percent" val="67"/>
      </iconSet>
    </cfRule>
  </conditionalFormatting>
  <conditionalFormatting sqref="AF34 AD34 AB34 Z34 R34 P34 N34 L34 J34 H34 T34 X34">
    <cfRule type="iconSet" priority="2508">
      <iconSet showValue="0">
        <cfvo type="percent" val="0"/>
        <cfvo type="num" val="50"/>
        <cfvo type="num" val="100"/>
      </iconSet>
    </cfRule>
  </conditionalFormatting>
  <pageMargins left="0.25" right="0.25" top="0.75" bottom="0.75" header="0.3" footer="0.3"/>
  <pageSetup paperSize="5" scale="69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7755-140F-4384-B6FB-97B50798596A}">
  <sheetPr>
    <pageSetUpPr fitToPage="1"/>
  </sheetPr>
  <dimension ref="B2:H64"/>
  <sheetViews>
    <sheetView topLeftCell="B41" zoomScaleNormal="100" workbookViewId="0">
      <selection activeCell="C55" sqref="C55"/>
    </sheetView>
  </sheetViews>
  <sheetFormatPr defaultColWidth="8.84375" defaultRowHeight="11.5" x14ac:dyDescent="0.25"/>
  <cols>
    <col min="1" max="1" width="8.84375" style="150"/>
    <col min="2" max="2" width="40.3828125" style="150" customWidth="1"/>
    <col min="3" max="3" width="5.3828125" style="150" customWidth="1"/>
    <col min="4" max="4" width="27" style="150" customWidth="1"/>
    <col min="5" max="5" width="8.61328125" style="150" customWidth="1"/>
    <col min="6" max="6" width="66.61328125" style="151" customWidth="1"/>
    <col min="7" max="16384" width="8.84375" style="150"/>
  </cols>
  <sheetData>
    <row r="2" spans="2:8" x14ac:dyDescent="0.25">
      <c r="H2" s="8"/>
    </row>
    <row r="3" spans="2:8" ht="15" customHeight="1" x14ac:dyDescent="0.25"/>
    <row r="4" spans="2:8" x14ac:dyDescent="0.25">
      <c r="E4" s="203" t="s">
        <v>364</v>
      </c>
    </row>
    <row r="6" spans="2:8" ht="15" customHeight="1" x14ac:dyDescent="0.25">
      <c r="B6" s="237" t="s">
        <v>2</v>
      </c>
      <c r="C6" s="238"/>
      <c r="D6" s="239" t="s">
        <v>365</v>
      </c>
      <c r="E6" s="239" t="s">
        <v>366</v>
      </c>
      <c r="F6" s="240" t="s">
        <v>367</v>
      </c>
    </row>
    <row r="7" spans="2:8" x14ac:dyDescent="0.25">
      <c r="B7" s="510" t="s">
        <v>12</v>
      </c>
      <c r="C7" s="515"/>
      <c r="D7" s="516"/>
      <c r="E7" s="516"/>
      <c r="F7" s="517"/>
    </row>
    <row r="8" spans="2:8" x14ac:dyDescent="0.25">
      <c r="B8" s="511"/>
      <c r="C8" s="515"/>
      <c r="D8" s="516"/>
      <c r="E8" s="516"/>
      <c r="F8" s="517"/>
    </row>
    <row r="9" spans="2:8" x14ac:dyDescent="0.25">
      <c r="B9" s="241" t="s">
        <v>13</v>
      </c>
      <c r="C9" s="515"/>
      <c r="D9" s="516"/>
      <c r="E9" s="516"/>
      <c r="F9" s="517"/>
    </row>
    <row r="10" spans="2:8" x14ac:dyDescent="0.25">
      <c r="B10" s="242" t="s">
        <v>2</v>
      </c>
      <c r="C10" s="148"/>
      <c r="D10" s="148" t="s">
        <v>365</v>
      </c>
      <c r="E10" s="148" t="s">
        <v>366</v>
      </c>
      <c r="F10" s="243" t="s">
        <v>367</v>
      </c>
    </row>
    <row r="11" spans="2:8" x14ac:dyDescent="0.25">
      <c r="B11" s="514" t="s">
        <v>368</v>
      </c>
      <c r="C11" s="161">
        <v>100</v>
      </c>
      <c r="D11" s="154" t="s">
        <v>17</v>
      </c>
      <c r="E11" s="482" t="s">
        <v>369</v>
      </c>
      <c r="F11" s="522" t="s">
        <v>370</v>
      </c>
    </row>
    <row r="12" spans="2:8" ht="12.5" x14ac:dyDescent="0.25">
      <c r="B12" s="514"/>
      <c r="C12" s="183">
        <v>73</v>
      </c>
      <c r="D12" s="154" t="s">
        <v>371</v>
      </c>
      <c r="E12" s="482"/>
      <c r="F12" s="522"/>
    </row>
    <row r="13" spans="2:8" ht="12.5" x14ac:dyDescent="0.25">
      <c r="B13" s="512"/>
      <c r="C13" s="19">
        <v>30</v>
      </c>
      <c r="D13" s="156" t="s">
        <v>372</v>
      </c>
      <c r="E13" s="483"/>
      <c r="F13" s="520"/>
    </row>
    <row r="14" spans="2:8" ht="11.5" customHeight="1" x14ac:dyDescent="0.25">
      <c r="B14" s="512" t="s">
        <v>373</v>
      </c>
      <c r="C14" s="161">
        <v>100</v>
      </c>
      <c r="D14" s="157" t="s">
        <v>19</v>
      </c>
      <c r="E14" s="518" t="s">
        <v>374</v>
      </c>
      <c r="F14" s="520" t="s">
        <v>375</v>
      </c>
    </row>
    <row r="15" spans="2:8" ht="14.25" customHeight="1" x14ac:dyDescent="0.25">
      <c r="B15" s="512"/>
      <c r="C15" s="183">
        <v>73</v>
      </c>
      <c r="D15" s="157" t="s">
        <v>376</v>
      </c>
      <c r="E15" s="518"/>
      <c r="F15" s="520"/>
    </row>
    <row r="16" spans="2:8" ht="11.5" customHeight="1" x14ac:dyDescent="0.25">
      <c r="B16" s="512"/>
      <c r="C16" s="19">
        <v>30</v>
      </c>
      <c r="D16" s="157" t="s">
        <v>377</v>
      </c>
      <c r="E16" s="518"/>
      <c r="F16" s="520"/>
    </row>
    <row r="17" spans="2:7" ht="12.75" customHeight="1" x14ac:dyDescent="0.25">
      <c r="B17" s="512" t="s">
        <v>378</v>
      </c>
      <c r="C17" s="161">
        <v>100</v>
      </c>
      <c r="D17" s="157" t="s">
        <v>21</v>
      </c>
      <c r="E17" s="518" t="s">
        <v>374</v>
      </c>
      <c r="F17" s="520" t="s">
        <v>375</v>
      </c>
    </row>
    <row r="18" spans="2:7" ht="11.5" customHeight="1" x14ac:dyDescent="0.25">
      <c r="B18" s="512"/>
      <c r="C18" s="155">
        <v>73</v>
      </c>
      <c r="D18" s="156" t="s">
        <v>379</v>
      </c>
      <c r="E18" s="518"/>
      <c r="F18" s="520"/>
    </row>
    <row r="19" spans="2:7" ht="11.5" customHeight="1" x14ac:dyDescent="0.25">
      <c r="B19" s="513"/>
      <c r="C19" s="19">
        <v>30</v>
      </c>
      <c r="D19" s="158" t="s">
        <v>380</v>
      </c>
      <c r="E19" s="518"/>
      <c r="F19" s="521"/>
    </row>
    <row r="20" spans="2:7" x14ac:dyDescent="0.25">
      <c r="B20" s="244" t="s">
        <v>2</v>
      </c>
      <c r="C20" s="1"/>
      <c r="D20" s="1" t="s">
        <v>365</v>
      </c>
      <c r="E20" s="1" t="s">
        <v>366</v>
      </c>
      <c r="F20" s="245" t="s">
        <v>367</v>
      </c>
    </row>
    <row r="21" spans="2:7" x14ac:dyDescent="0.25">
      <c r="B21" s="495" t="s">
        <v>24</v>
      </c>
      <c r="C21" s="161">
        <v>100</v>
      </c>
      <c r="D21" s="160" t="s">
        <v>381</v>
      </c>
      <c r="E21" s="482" t="s">
        <v>369</v>
      </c>
      <c r="F21" s="486" t="s">
        <v>382</v>
      </c>
    </row>
    <row r="22" spans="2:7" ht="12.5" x14ac:dyDescent="0.25">
      <c r="B22" s="495"/>
      <c r="C22" s="183">
        <v>73</v>
      </c>
      <c r="D22" s="160" t="s">
        <v>383</v>
      </c>
      <c r="E22" s="482"/>
      <c r="F22" s="486"/>
    </row>
    <row r="23" spans="2:7" ht="12.5" x14ac:dyDescent="0.25">
      <c r="B23" s="491"/>
      <c r="C23" s="19">
        <v>30</v>
      </c>
      <c r="D23" s="162" t="s">
        <v>384</v>
      </c>
      <c r="E23" s="483"/>
      <c r="F23" s="500"/>
    </row>
    <row r="24" spans="2:7" x14ac:dyDescent="0.25">
      <c r="B24" s="491" t="s">
        <v>385</v>
      </c>
      <c r="C24" s="161">
        <v>100</v>
      </c>
      <c r="D24" s="162" t="s">
        <v>33</v>
      </c>
      <c r="E24" s="518" t="s">
        <v>374</v>
      </c>
      <c r="F24" s="500" t="s">
        <v>375</v>
      </c>
    </row>
    <row r="25" spans="2:7" ht="12.5" x14ac:dyDescent="0.25">
      <c r="B25" s="491"/>
      <c r="C25" s="183">
        <v>73</v>
      </c>
      <c r="D25" s="157" t="s">
        <v>386</v>
      </c>
      <c r="E25" s="518"/>
      <c r="F25" s="500"/>
    </row>
    <row r="26" spans="2:7" ht="12.5" x14ac:dyDescent="0.25">
      <c r="B26" s="491"/>
      <c r="C26" s="19">
        <v>30</v>
      </c>
      <c r="D26" s="162" t="s">
        <v>387</v>
      </c>
      <c r="E26" s="518"/>
      <c r="F26" s="500"/>
    </row>
    <row r="27" spans="2:7" x14ac:dyDescent="0.25">
      <c r="B27" s="491" t="s">
        <v>34</v>
      </c>
      <c r="C27" s="161">
        <v>100</v>
      </c>
      <c r="D27" s="162" t="s">
        <v>35</v>
      </c>
      <c r="E27" s="519">
        <v>2024</v>
      </c>
      <c r="F27" s="500" t="s">
        <v>388</v>
      </c>
    </row>
    <row r="28" spans="2:7" ht="12.5" x14ac:dyDescent="0.25">
      <c r="B28" s="491"/>
      <c r="C28" s="183">
        <v>73</v>
      </c>
      <c r="D28" s="357" t="s">
        <v>389</v>
      </c>
      <c r="E28" s="519"/>
      <c r="F28" s="500"/>
    </row>
    <row r="29" spans="2:7" ht="12.5" x14ac:dyDescent="0.25">
      <c r="B29" s="491"/>
      <c r="C29" s="19">
        <v>30</v>
      </c>
      <c r="D29" s="357" t="s">
        <v>390</v>
      </c>
      <c r="E29" s="483"/>
      <c r="F29" s="500"/>
    </row>
    <row r="30" spans="2:7" x14ac:dyDescent="0.25">
      <c r="B30" s="491" t="s">
        <v>391</v>
      </c>
      <c r="C30" s="161">
        <v>100</v>
      </c>
      <c r="D30" s="162" t="s">
        <v>43</v>
      </c>
      <c r="E30" s="482" t="s">
        <v>392</v>
      </c>
      <c r="F30" s="500" t="s">
        <v>393</v>
      </c>
    </row>
    <row r="31" spans="2:7" ht="12.5" x14ac:dyDescent="0.25">
      <c r="B31" s="494"/>
      <c r="C31" s="19">
        <v>30</v>
      </c>
      <c r="D31" s="163" t="s">
        <v>394</v>
      </c>
      <c r="E31" s="523"/>
      <c r="F31" s="484"/>
    </row>
    <row r="32" spans="2:7" ht="15" customHeight="1" x14ac:dyDescent="0.25">
      <c r="B32" s="247" t="s">
        <v>2</v>
      </c>
      <c r="C32" s="2"/>
      <c r="D32" s="2" t="s">
        <v>365</v>
      </c>
      <c r="E32" s="2" t="s">
        <v>366</v>
      </c>
      <c r="F32" s="248" t="s">
        <v>367</v>
      </c>
      <c r="G32" s="342" t="s">
        <v>395</v>
      </c>
    </row>
    <row r="33" spans="2:6" ht="12" customHeight="1" x14ac:dyDescent="0.25">
      <c r="B33" s="495" t="s">
        <v>46</v>
      </c>
      <c r="C33" s="161">
        <v>100</v>
      </c>
      <c r="D33" s="160" t="s">
        <v>47</v>
      </c>
      <c r="E33" s="498" t="s">
        <v>396</v>
      </c>
      <c r="F33" s="489" t="s">
        <v>397</v>
      </c>
    </row>
    <row r="34" spans="2:6" ht="12.5" x14ac:dyDescent="0.25">
      <c r="B34" s="491"/>
      <c r="C34" s="183">
        <v>73</v>
      </c>
      <c r="D34" s="162" t="s">
        <v>398</v>
      </c>
      <c r="E34" s="499"/>
      <c r="F34" s="490"/>
    </row>
    <row r="35" spans="2:6" ht="15" customHeight="1" x14ac:dyDescent="0.25">
      <c r="B35" s="491"/>
      <c r="C35" s="19">
        <v>30</v>
      </c>
      <c r="D35" s="162" t="s">
        <v>399</v>
      </c>
      <c r="E35" s="499"/>
      <c r="F35" s="490"/>
    </row>
    <row r="36" spans="2:6" ht="15" customHeight="1" x14ac:dyDescent="0.25">
      <c r="B36" s="491" t="s">
        <v>54</v>
      </c>
      <c r="C36" s="161">
        <v>100</v>
      </c>
      <c r="D36" s="162" t="s">
        <v>35</v>
      </c>
      <c r="E36" s="492" t="s">
        <v>396</v>
      </c>
      <c r="F36" s="496" t="s">
        <v>400</v>
      </c>
    </row>
    <row r="37" spans="2:6" ht="15" customHeight="1" x14ac:dyDescent="0.25">
      <c r="B37" s="491"/>
      <c r="C37" s="183">
        <v>73</v>
      </c>
      <c r="D37" s="157" t="s">
        <v>401</v>
      </c>
      <c r="E37" s="493"/>
      <c r="F37" s="497"/>
    </row>
    <row r="38" spans="2:6" ht="15" customHeight="1" x14ac:dyDescent="0.25">
      <c r="B38" s="491"/>
      <c r="C38" s="19">
        <v>30</v>
      </c>
      <c r="D38" s="157" t="s">
        <v>402</v>
      </c>
      <c r="E38" s="493"/>
      <c r="F38" s="497"/>
    </row>
    <row r="39" spans="2:6" ht="15" customHeight="1" x14ac:dyDescent="0.25">
      <c r="B39" s="491" t="s">
        <v>403</v>
      </c>
      <c r="C39" s="161">
        <v>100</v>
      </c>
      <c r="D39" s="157" t="s">
        <v>35</v>
      </c>
      <c r="E39" s="492" t="s">
        <v>396</v>
      </c>
      <c r="F39" s="496" t="s">
        <v>400</v>
      </c>
    </row>
    <row r="40" spans="2:6" ht="15" customHeight="1" x14ac:dyDescent="0.25">
      <c r="B40" s="491"/>
      <c r="C40" s="183">
        <v>73</v>
      </c>
      <c r="D40" s="157" t="s">
        <v>401</v>
      </c>
      <c r="E40" s="493"/>
      <c r="F40" s="497"/>
    </row>
    <row r="41" spans="2:6" ht="15" customHeight="1" x14ac:dyDescent="0.25">
      <c r="B41" s="491"/>
      <c r="C41" s="19">
        <v>30</v>
      </c>
      <c r="D41" s="162" t="s">
        <v>402</v>
      </c>
      <c r="E41" s="493"/>
      <c r="F41" s="497"/>
    </row>
    <row r="42" spans="2:6" ht="15" customHeight="1" x14ac:dyDescent="0.25">
      <c r="B42" s="491" t="s">
        <v>56</v>
      </c>
      <c r="C42" s="161">
        <v>100</v>
      </c>
      <c r="D42" s="162" t="s">
        <v>35</v>
      </c>
      <c r="E42" s="492" t="s">
        <v>396</v>
      </c>
      <c r="F42" s="496" t="s">
        <v>400</v>
      </c>
    </row>
    <row r="43" spans="2:6" ht="15" customHeight="1" x14ac:dyDescent="0.25">
      <c r="B43" s="491"/>
      <c r="C43" s="183">
        <v>73</v>
      </c>
      <c r="D43" s="162" t="s">
        <v>401</v>
      </c>
      <c r="E43" s="493"/>
      <c r="F43" s="497"/>
    </row>
    <row r="44" spans="2:6" ht="15.75" customHeight="1" x14ac:dyDescent="0.25">
      <c r="B44" s="494"/>
      <c r="C44" s="19">
        <v>30</v>
      </c>
      <c r="D44" s="163" t="s">
        <v>402</v>
      </c>
      <c r="E44" s="493"/>
      <c r="F44" s="497"/>
    </row>
    <row r="45" spans="2:6" x14ac:dyDescent="0.25">
      <c r="B45" s="249" t="s">
        <v>2</v>
      </c>
      <c r="C45" s="3"/>
      <c r="D45" s="3" t="s">
        <v>365</v>
      </c>
      <c r="E45" s="3" t="s">
        <v>366</v>
      </c>
      <c r="F45" s="250" t="s">
        <v>367</v>
      </c>
    </row>
    <row r="46" spans="2:6" ht="12" customHeight="1" x14ac:dyDescent="0.25">
      <c r="B46" s="495" t="s">
        <v>404</v>
      </c>
      <c r="C46" s="161">
        <v>100</v>
      </c>
      <c r="D46" s="296" t="s">
        <v>60</v>
      </c>
      <c r="E46" s="482" t="s">
        <v>405</v>
      </c>
      <c r="F46" s="484" t="s">
        <v>406</v>
      </c>
    </row>
    <row r="47" spans="2:6" ht="12" customHeight="1" x14ac:dyDescent="0.25">
      <c r="B47" s="495"/>
      <c r="C47" s="183">
        <v>73</v>
      </c>
      <c r="D47" s="295" t="s">
        <v>407</v>
      </c>
      <c r="E47" s="482"/>
      <c r="F47" s="485"/>
    </row>
    <row r="48" spans="2:6" ht="12.5" x14ac:dyDescent="0.25">
      <c r="B48" s="491"/>
      <c r="C48" s="19">
        <v>30</v>
      </c>
      <c r="D48" s="295" t="s">
        <v>408</v>
      </c>
      <c r="E48" s="483"/>
      <c r="F48" s="486"/>
    </row>
    <row r="49" spans="2:6" ht="12" customHeight="1" x14ac:dyDescent="0.25">
      <c r="B49" s="491" t="s">
        <v>409</v>
      </c>
      <c r="C49" s="330">
        <v>100</v>
      </c>
      <c r="D49" s="296" t="s">
        <v>62</v>
      </c>
      <c r="E49" s="483" t="s">
        <v>405</v>
      </c>
      <c r="F49" s="484" t="s">
        <v>406</v>
      </c>
    </row>
    <row r="50" spans="2:6" ht="12" customHeight="1" x14ac:dyDescent="0.25">
      <c r="B50" s="491"/>
      <c r="C50" s="183">
        <v>73</v>
      </c>
      <c r="D50" s="295" t="s">
        <v>407</v>
      </c>
      <c r="E50" s="483"/>
      <c r="F50" s="485"/>
    </row>
    <row r="51" spans="2:6" ht="12.5" x14ac:dyDescent="0.25">
      <c r="B51" s="491"/>
      <c r="C51" s="19">
        <v>30</v>
      </c>
      <c r="D51" s="295" t="s">
        <v>410</v>
      </c>
      <c r="E51" s="483"/>
      <c r="F51" s="486"/>
    </row>
    <row r="52" spans="2:6" ht="15.75" customHeight="1" x14ac:dyDescent="0.25">
      <c r="B52" s="491" t="s">
        <v>411</v>
      </c>
      <c r="C52" s="161">
        <v>100</v>
      </c>
      <c r="D52" s="162" t="s">
        <v>412</v>
      </c>
      <c r="E52" s="506" t="s">
        <v>413</v>
      </c>
      <c r="F52" s="500" t="s">
        <v>414</v>
      </c>
    </row>
    <row r="53" spans="2:6" ht="15" customHeight="1" x14ac:dyDescent="0.25">
      <c r="B53" s="491"/>
      <c r="C53" s="183">
        <v>73</v>
      </c>
      <c r="D53" s="162" t="s">
        <v>415</v>
      </c>
      <c r="E53" s="506"/>
      <c r="F53" s="500"/>
    </row>
    <row r="54" spans="2:6" ht="12.5" x14ac:dyDescent="0.25">
      <c r="B54" s="491"/>
      <c r="C54" s="19">
        <v>30</v>
      </c>
      <c r="D54" s="162" t="s">
        <v>416</v>
      </c>
      <c r="E54" s="506"/>
      <c r="F54" s="500"/>
    </row>
    <row r="55" spans="2:6" ht="18.75" customHeight="1" x14ac:dyDescent="0.25">
      <c r="B55" s="327" t="s">
        <v>65</v>
      </c>
      <c r="C55" s="328">
        <v>100</v>
      </c>
      <c r="D55" s="329" t="s">
        <v>43</v>
      </c>
      <c r="E55" s="332" t="s">
        <v>417</v>
      </c>
      <c r="F55" s="487" t="s">
        <v>414</v>
      </c>
    </row>
    <row r="56" spans="2:6" ht="18.75" customHeight="1" x14ac:dyDescent="0.25">
      <c r="B56" s="326" t="s">
        <v>67</v>
      </c>
      <c r="C56" s="19">
        <v>30</v>
      </c>
      <c r="D56" s="331" t="s">
        <v>394</v>
      </c>
      <c r="E56" s="333" t="s">
        <v>418</v>
      </c>
      <c r="F56" s="488"/>
    </row>
    <row r="57" spans="2:6" x14ac:dyDescent="0.25">
      <c r="B57" s="251" t="s">
        <v>2</v>
      </c>
      <c r="C57" s="4"/>
      <c r="D57" s="4" t="s">
        <v>419</v>
      </c>
      <c r="E57" s="4" t="s">
        <v>366</v>
      </c>
      <c r="F57" s="252" t="s">
        <v>367</v>
      </c>
    </row>
    <row r="58" spans="2:6" ht="12" customHeight="1" x14ac:dyDescent="0.25">
      <c r="B58" s="495" t="s">
        <v>420</v>
      </c>
      <c r="C58" s="159">
        <v>100</v>
      </c>
      <c r="D58" s="164" t="s">
        <v>43</v>
      </c>
      <c r="E58" s="482" t="s">
        <v>369</v>
      </c>
      <c r="F58" s="485" t="s">
        <v>421</v>
      </c>
    </row>
    <row r="59" spans="2:6" x14ac:dyDescent="0.25">
      <c r="B59" s="491"/>
      <c r="C59" s="161">
        <v>30</v>
      </c>
      <c r="D59" s="156" t="s">
        <v>394</v>
      </c>
      <c r="E59" s="483"/>
      <c r="F59" s="486"/>
    </row>
    <row r="60" spans="2:6" x14ac:dyDescent="0.25">
      <c r="B60" s="246" t="s">
        <v>422</v>
      </c>
      <c r="C60" s="507"/>
      <c r="D60" s="508"/>
      <c r="E60" s="509"/>
      <c r="F60" s="253" t="s">
        <v>423</v>
      </c>
    </row>
    <row r="61" spans="2:6" x14ac:dyDescent="0.25">
      <c r="B61" s="254" t="s">
        <v>2</v>
      </c>
      <c r="C61" s="5"/>
      <c r="D61" s="6" t="s">
        <v>365</v>
      </c>
      <c r="E61" s="7" t="s">
        <v>366</v>
      </c>
      <c r="F61" s="255" t="s">
        <v>367</v>
      </c>
    </row>
    <row r="62" spans="2:6" ht="12" customHeight="1" x14ac:dyDescent="0.25">
      <c r="B62" s="495" t="s">
        <v>424</v>
      </c>
      <c r="C62" s="159">
        <v>100</v>
      </c>
      <c r="D62" s="154" t="s">
        <v>83</v>
      </c>
      <c r="E62" s="503" t="s">
        <v>425</v>
      </c>
      <c r="F62" s="486" t="s">
        <v>426</v>
      </c>
    </row>
    <row r="63" spans="2:6" ht="12.5" x14ac:dyDescent="0.25">
      <c r="B63" s="491"/>
      <c r="C63" s="183">
        <v>73</v>
      </c>
      <c r="D63" s="157" t="s">
        <v>427</v>
      </c>
      <c r="E63" s="504"/>
      <c r="F63" s="500"/>
    </row>
    <row r="64" spans="2:6" ht="13" thickBot="1" x14ac:dyDescent="0.3">
      <c r="B64" s="502"/>
      <c r="C64" s="19">
        <v>30</v>
      </c>
      <c r="D64" s="256" t="s">
        <v>428</v>
      </c>
      <c r="E64" s="505"/>
      <c r="F64" s="501"/>
    </row>
  </sheetData>
  <mergeCells count="52">
    <mergeCell ref="C7:F9"/>
    <mergeCell ref="F46:F48"/>
    <mergeCell ref="F24:F26"/>
    <mergeCell ref="E24:E26"/>
    <mergeCell ref="F27:F29"/>
    <mergeCell ref="E27:E29"/>
    <mergeCell ref="F14:F16"/>
    <mergeCell ref="F17:F19"/>
    <mergeCell ref="F21:F23"/>
    <mergeCell ref="E14:E16"/>
    <mergeCell ref="E17:E19"/>
    <mergeCell ref="F11:F13"/>
    <mergeCell ref="E21:E23"/>
    <mergeCell ref="F42:F44"/>
    <mergeCell ref="F36:F38"/>
    <mergeCell ref="E30:E31"/>
    <mergeCell ref="B7:B8"/>
    <mergeCell ref="B24:B26"/>
    <mergeCell ref="B27:B29"/>
    <mergeCell ref="B14:B16"/>
    <mergeCell ref="B17:B19"/>
    <mergeCell ref="B11:B13"/>
    <mergeCell ref="B21:B23"/>
    <mergeCell ref="B33:B35"/>
    <mergeCell ref="E33:E35"/>
    <mergeCell ref="F30:F31"/>
    <mergeCell ref="F62:F64"/>
    <mergeCell ref="B52:B54"/>
    <mergeCell ref="B58:B59"/>
    <mergeCell ref="B62:B64"/>
    <mergeCell ref="E62:E64"/>
    <mergeCell ref="E52:E54"/>
    <mergeCell ref="F52:F54"/>
    <mergeCell ref="F58:F59"/>
    <mergeCell ref="C60:E60"/>
    <mergeCell ref="E58:E59"/>
    <mergeCell ref="E11:E13"/>
    <mergeCell ref="F49:F51"/>
    <mergeCell ref="F55:F56"/>
    <mergeCell ref="F33:F35"/>
    <mergeCell ref="B49:B51"/>
    <mergeCell ref="E49:E51"/>
    <mergeCell ref="B36:B38"/>
    <mergeCell ref="E36:E38"/>
    <mergeCell ref="B39:B41"/>
    <mergeCell ref="E39:E41"/>
    <mergeCell ref="B42:B44"/>
    <mergeCell ref="E42:E44"/>
    <mergeCell ref="B46:B48"/>
    <mergeCell ref="E46:E48"/>
    <mergeCell ref="F39:F41"/>
    <mergeCell ref="B30:B31"/>
  </mergeCells>
  <conditionalFormatting sqref="C11">
    <cfRule type="iconSet" priority="11">
      <iconSet showValue="0">
        <cfvo type="percent" val="0"/>
        <cfvo type="percent" val="100"/>
        <cfvo type="percent" val="100"/>
      </iconSet>
    </cfRule>
  </conditionalFormatting>
  <conditionalFormatting sqref="C12">
    <cfRule type="iconSet" priority="27">
      <iconSet showValue="0">
        <cfvo type="percent" val="0"/>
        <cfvo type="num" val="50"/>
        <cfvo type="num" val="100"/>
      </iconSet>
    </cfRule>
  </conditionalFormatting>
  <conditionalFormatting sqref="C13">
    <cfRule type="iconSet" priority="12">
      <iconSet showValue="0">
        <cfvo type="percent" val="0"/>
        <cfvo type="num" val="70"/>
        <cfvo type="num" val="75"/>
      </iconSet>
    </cfRule>
  </conditionalFormatting>
  <conditionalFormatting sqref="C14">
    <cfRule type="iconSet" priority="10">
      <iconSet showValue="0">
        <cfvo type="percent" val="0"/>
        <cfvo type="percent" val="100"/>
        <cfvo type="percent" val="100"/>
      </iconSet>
    </cfRule>
  </conditionalFormatting>
  <conditionalFormatting sqref="C15">
    <cfRule type="iconSet" priority="28">
      <iconSet showValue="0">
        <cfvo type="percent" val="0"/>
        <cfvo type="num" val="50"/>
        <cfvo type="num" val="100"/>
      </iconSet>
    </cfRule>
  </conditionalFormatting>
  <conditionalFormatting sqref="C16">
    <cfRule type="iconSet" priority="13">
      <iconSet showValue="0">
        <cfvo type="percent" val="0"/>
        <cfvo type="num" val="70"/>
        <cfvo type="num" val="75"/>
      </iconSet>
    </cfRule>
  </conditionalFormatting>
  <conditionalFormatting sqref="C17">
    <cfRule type="iconSet" priority="9">
      <iconSet showValue="0">
        <cfvo type="percent" val="0"/>
        <cfvo type="percent" val="100"/>
        <cfvo type="percent" val="100"/>
      </iconSet>
    </cfRule>
  </conditionalFormatting>
  <conditionalFormatting sqref="C18">
    <cfRule type="iconSet" priority="65">
      <iconSet showValue="0">
        <cfvo type="percent" val="0"/>
        <cfvo type="num" val="67"/>
        <cfvo type="num" val="75"/>
      </iconSet>
    </cfRule>
  </conditionalFormatting>
  <conditionalFormatting sqref="C19">
    <cfRule type="iconSet" priority="14">
      <iconSet showValue="0">
        <cfvo type="percent" val="0"/>
        <cfvo type="num" val="70"/>
        <cfvo type="num" val="75"/>
      </iconSet>
    </cfRule>
  </conditionalFormatting>
  <conditionalFormatting sqref="C21">
    <cfRule type="iconSet" priority="8">
      <iconSet showValue="0">
        <cfvo type="percent" val="0"/>
        <cfvo type="percent" val="100"/>
        <cfvo type="percent" val="100"/>
      </iconSet>
    </cfRule>
  </conditionalFormatting>
  <conditionalFormatting sqref="C22">
    <cfRule type="iconSet" priority="29">
      <iconSet showValue="0">
        <cfvo type="percent" val="0"/>
        <cfvo type="num" val="50"/>
        <cfvo type="num" val="100"/>
      </iconSet>
    </cfRule>
  </conditionalFormatting>
  <conditionalFormatting sqref="C23">
    <cfRule type="iconSet" priority="15">
      <iconSet showValue="0">
        <cfvo type="percent" val="0"/>
        <cfvo type="num" val="70"/>
        <cfvo type="num" val="75"/>
      </iconSet>
    </cfRule>
  </conditionalFormatting>
  <conditionalFormatting sqref="C24">
    <cfRule type="iconSet" priority="7">
      <iconSet showValue="0">
        <cfvo type="percent" val="0"/>
        <cfvo type="percent" val="100"/>
        <cfvo type="percent" val="100"/>
      </iconSet>
    </cfRule>
  </conditionalFormatting>
  <conditionalFormatting sqref="C25">
    <cfRule type="iconSet" priority="30">
      <iconSet showValue="0">
        <cfvo type="percent" val="0"/>
        <cfvo type="num" val="50"/>
        <cfvo type="num" val="100"/>
      </iconSet>
    </cfRule>
  </conditionalFormatting>
  <conditionalFormatting sqref="C26">
    <cfRule type="iconSet" priority="16">
      <iconSet showValue="0">
        <cfvo type="percent" val="0"/>
        <cfvo type="num" val="70"/>
        <cfvo type="num" val="75"/>
      </iconSet>
    </cfRule>
  </conditionalFormatting>
  <conditionalFormatting sqref="C27">
    <cfRule type="iconSet" priority="6">
      <iconSet showValue="0">
        <cfvo type="percent" val="0"/>
        <cfvo type="percent" val="100"/>
        <cfvo type="percent" val="100"/>
      </iconSet>
    </cfRule>
  </conditionalFormatting>
  <conditionalFormatting sqref="C28">
    <cfRule type="iconSet" priority="31">
      <iconSet showValue="0">
        <cfvo type="percent" val="0"/>
        <cfvo type="num" val="50"/>
        <cfvo type="num" val="100"/>
      </iconSet>
    </cfRule>
  </conditionalFormatting>
  <conditionalFormatting sqref="C29">
    <cfRule type="iconSet" priority="17">
      <iconSet showValue="0">
        <cfvo type="percent" val="0"/>
        <cfvo type="num" val="70"/>
        <cfvo type="num" val="75"/>
      </iconSet>
    </cfRule>
  </conditionalFormatting>
  <conditionalFormatting sqref="C30">
    <cfRule type="iconSet" priority="63">
      <iconSet showValue="0">
        <cfvo type="percent" val="0"/>
        <cfvo type="percent" val="100"/>
        <cfvo type="percent" val="100"/>
      </iconSet>
    </cfRule>
  </conditionalFormatting>
  <conditionalFormatting sqref="C31">
    <cfRule type="iconSet" priority="18">
      <iconSet showValue="0">
        <cfvo type="percent" val="0"/>
        <cfvo type="num" val="70"/>
        <cfvo type="num" val="75"/>
      </iconSet>
    </cfRule>
  </conditionalFormatting>
  <conditionalFormatting sqref="C33">
    <cfRule type="iconSet" priority="5">
      <iconSet showValue="0">
        <cfvo type="percent" val="0"/>
        <cfvo type="percent" val="100"/>
        <cfvo type="percent" val="100"/>
      </iconSet>
    </cfRule>
  </conditionalFormatting>
  <conditionalFormatting sqref="C34">
    <cfRule type="iconSet" priority="32">
      <iconSet showValue="0">
        <cfvo type="percent" val="0"/>
        <cfvo type="num" val="50"/>
        <cfvo type="num" val="100"/>
      </iconSet>
    </cfRule>
  </conditionalFormatting>
  <conditionalFormatting sqref="C35">
    <cfRule type="iconSet" priority="19">
      <iconSet showValue="0">
        <cfvo type="percent" val="0"/>
        <cfvo type="num" val="70"/>
        <cfvo type="num" val="75"/>
      </iconSet>
    </cfRule>
  </conditionalFormatting>
  <conditionalFormatting sqref="C36">
    <cfRule type="iconSet" priority="4">
      <iconSet showValue="0">
        <cfvo type="percent" val="0"/>
        <cfvo type="percent" val="100"/>
        <cfvo type="percent" val="100"/>
      </iconSet>
    </cfRule>
  </conditionalFormatting>
  <conditionalFormatting sqref="C37">
    <cfRule type="iconSet" priority="33">
      <iconSet showValue="0">
        <cfvo type="percent" val="0"/>
        <cfvo type="num" val="50"/>
        <cfvo type="num" val="100"/>
      </iconSet>
    </cfRule>
  </conditionalFormatting>
  <conditionalFormatting sqref="C38">
    <cfRule type="iconSet" priority="20">
      <iconSet showValue="0">
        <cfvo type="percent" val="0"/>
        <cfvo type="num" val="70"/>
        <cfvo type="num" val="75"/>
      </iconSet>
    </cfRule>
  </conditionalFormatting>
  <conditionalFormatting sqref="C39">
    <cfRule type="iconSet" priority="3">
      <iconSet showValue="0">
        <cfvo type="percent" val="0"/>
        <cfvo type="percent" val="100"/>
        <cfvo type="percent" val="100"/>
      </iconSet>
    </cfRule>
  </conditionalFormatting>
  <conditionalFormatting sqref="C40">
    <cfRule type="iconSet" priority="34">
      <iconSet showValue="0">
        <cfvo type="percent" val="0"/>
        <cfvo type="num" val="50"/>
        <cfvo type="num" val="100"/>
      </iconSet>
    </cfRule>
  </conditionalFormatting>
  <conditionalFormatting sqref="C41">
    <cfRule type="iconSet" priority="21">
      <iconSet showValue="0">
        <cfvo type="percent" val="0"/>
        <cfvo type="num" val="70"/>
        <cfvo type="num" val="75"/>
      </iconSet>
    </cfRule>
  </conditionalFormatting>
  <conditionalFormatting sqref="C42">
    <cfRule type="iconSet" priority="2">
      <iconSet showValue="0">
        <cfvo type="percent" val="0"/>
        <cfvo type="percent" val="100"/>
        <cfvo type="percent" val="100"/>
      </iconSet>
    </cfRule>
  </conditionalFormatting>
  <conditionalFormatting sqref="C43">
    <cfRule type="iconSet" priority="35">
      <iconSet showValue="0">
        <cfvo type="percent" val="0"/>
        <cfvo type="num" val="50"/>
        <cfvo type="num" val="100"/>
      </iconSet>
    </cfRule>
  </conditionalFormatting>
  <conditionalFormatting sqref="C44">
    <cfRule type="iconSet" priority="22">
      <iconSet showValue="0">
        <cfvo type="percent" val="0"/>
        <cfvo type="num" val="70"/>
        <cfvo type="num" val="75"/>
      </iconSet>
    </cfRule>
  </conditionalFormatting>
  <conditionalFormatting sqref="C46">
    <cfRule type="iconSet" priority="1">
      <iconSet showValue="0">
        <cfvo type="percent" val="0"/>
        <cfvo type="percent" val="100"/>
        <cfvo type="percent" val="100"/>
      </iconSet>
    </cfRule>
  </conditionalFormatting>
  <conditionalFormatting sqref="C47">
    <cfRule type="iconSet" priority="36">
      <iconSet showValue="0">
        <cfvo type="percent" val="0"/>
        <cfvo type="num" val="50"/>
        <cfvo type="num" val="100"/>
      </iconSet>
    </cfRule>
  </conditionalFormatting>
  <conditionalFormatting sqref="C48">
    <cfRule type="iconSet" priority="23">
      <iconSet showValue="0">
        <cfvo type="percent" val="0"/>
        <cfvo type="num" val="70"/>
        <cfvo type="num" val="75"/>
      </iconSet>
    </cfRule>
  </conditionalFormatting>
  <conditionalFormatting sqref="C49">
    <cfRule type="iconSet" priority="55">
      <iconSet showValue="0">
        <cfvo type="percent" val="0"/>
        <cfvo type="num" val="100"/>
        <cfvo type="num" val="100"/>
      </iconSet>
    </cfRule>
    <cfRule type="iconSet" priority="56">
      <iconSet>
        <cfvo type="percent" val="0"/>
        <cfvo type="percent" val="33"/>
        <cfvo type="percent" val="67"/>
      </iconSet>
    </cfRule>
  </conditionalFormatting>
  <conditionalFormatting sqref="C50">
    <cfRule type="iconSet" priority="37">
      <iconSet showValue="0">
        <cfvo type="percent" val="0"/>
        <cfvo type="num" val="50"/>
        <cfvo type="num" val="100"/>
      </iconSet>
    </cfRule>
  </conditionalFormatting>
  <conditionalFormatting sqref="C51">
    <cfRule type="iconSet" priority="24">
      <iconSet showValue="0">
        <cfvo type="percent" val="0"/>
        <cfvo type="num" val="70"/>
        <cfvo type="num" val="75"/>
      </iconSet>
    </cfRule>
  </conditionalFormatting>
  <conditionalFormatting sqref="C52">
    <cfRule type="iconSet" priority="57">
      <iconSet showValue="0">
        <cfvo type="percent" val="0"/>
        <cfvo type="num" val="75"/>
        <cfvo type="num" val="100"/>
      </iconSet>
    </cfRule>
  </conditionalFormatting>
  <conditionalFormatting sqref="C53">
    <cfRule type="iconSet" priority="38">
      <iconSet showValue="0">
        <cfvo type="percent" val="0"/>
        <cfvo type="num" val="50"/>
        <cfvo type="num" val="100"/>
      </iconSet>
    </cfRule>
  </conditionalFormatting>
  <conditionalFormatting sqref="C54">
    <cfRule type="iconSet" priority="25">
      <iconSet showValue="0">
        <cfvo type="percent" val="0"/>
        <cfvo type="num" val="70"/>
        <cfvo type="num" val="75"/>
      </iconSet>
    </cfRule>
  </conditionalFormatting>
  <conditionalFormatting sqref="C55">
    <cfRule type="iconSet" priority="42">
      <iconSet showValue="0">
        <cfvo type="percent" val="0"/>
        <cfvo type="num" val="100"/>
        <cfvo type="num" val="10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C56">
    <cfRule type="iconSet" priority="26">
      <iconSet showValue="0">
        <cfvo type="percent" val="0"/>
        <cfvo type="num" val="70"/>
        <cfvo type="num" val="75"/>
      </iconSet>
    </cfRule>
  </conditionalFormatting>
  <conditionalFormatting sqref="C58:C60">
    <cfRule type="iconSet" priority="53">
      <iconSet showValue="0">
        <cfvo type="percent" val="0"/>
        <cfvo type="num" val="100"/>
        <cfvo type="num" val="100"/>
      </iconSet>
    </cfRule>
    <cfRule type="iconSet" priority="54">
      <iconSet>
        <cfvo type="percent" val="0"/>
        <cfvo type="percent" val="33"/>
        <cfvo type="percent" val="67"/>
      </iconSet>
    </cfRule>
  </conditionalFormatting>
  <conditionalFormatting sqref="C62">
    <cfRule type="iconSet" priority="51">
      <iconSet showValue="0">
        <cfvo type="percent" val="0"/>
        <cfvo type="num" val="100"/>
        <cfvo type="num" val="100"/>
      </iconSet>
    </cfRule>
    <cfRule type="iconSet" priority="52">
      <iconSet>
        <cfvo type="percent" val="0"/>
        <cfvo type="percent" val="33"/>
        <cfvo type="percent" val="67"/>
      </iconSet>
    </cfRule>
  </conditionalFormatting>
  <conditionalFormatting sqref="C63">
    <cfRule type="iconSet" priority="39">
      <iconSet showValue="0">
        <cfvo type="percent" val="0"/>
        <cfvo type="num" val="50"/>
        <cfvo type="num" val="100"/>
      </iconSet>
    </cfRule>
  </conditionalFormatting>
  <conditionalFormatting sqref="C64">
    <cfRule type="iconSet" priority="40">
      <iconSet showValue="0">
        <cfvo type="percent" val="0"/>
        <cfvo type="num" val="70"/>
        <cfvo type="num" val="75"/>
      </iconSet>
    </cfRule>
  </conditionalFormatting>
  <pageMargins left="0.25" right="0.25" top="0.75" bottom="0.75" header="0.3" footer="0.3"/>
  <pageSetup paperSize="5" scale="64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4412-276C-4FBE-9551-AC55A559ED3E}">
  <dimension ref="A1:A22"/>
  <sheetViews>
    <sheetView zoomScaleNormal="100" workbookViewId="0">
      <selection activeCell="A3" sqref="A3"/>
    </sheetView>
  </sheetViews>
  <sheetFormatPr defaultColWidth="8.61328125" defaultRowHeight="14" x14ac:dyDescent="0.3"/>
  <cols>
    <col min="1" max="1" width="47.3828125" customWidth="1"/>
  </cols>
  <sheetData>
    <row r="1" spans="1:1" s="423" customFormat="1" ht="21" customHeight="1" thickBot="1" x14ac:dyDescent="0.35">
      <c r="A1" s="422" t="s">
        <v>429</v>
      </c>
    </row>
    <row r="2" spans="1:1" ht="14.5" x14ac:dyDescent="0.3">
      <c r="A2" s="86" t="s">
        <v>430</v>
      </c>
    </row>
    <row r="3" spans="1:1" ht="14.5" x14ac:dyDescent="0.3">
      <c r="A3" s="87" t="s">
        <v>431</v>
      </c>
    </row>
    <row r="4" spans="1:1" ht="14.5" x14ac:dyDescent="0.3">
      <c r="A4" s="88" t="s">
        <v>432</v>
      </c>
    </row>
    <row r="5" spans="1:1" ht="14.5" x14ac:dyDescent="0.3">
      <c r="A5" s="87" t="s">
        <v>433</v>
      </c>
    </row>
    <row r="6" spans="1:1" ht="14.5" x14ac:dyDescent="0.3">
      <c r="A6" s="87" t="s">
        <v>434</v>
      </c>
    </row>
    <row r="7" spans="1:1" ht="14.5" x14ac:dyDescent="0.3">
      <c r="A7" s="88" t="s">
        <v>435</v>
      </c>
    </row>
    <row r="8" spans="1:1" ht="14.5" x14ac:dyDescent="0.3">
      <c r="A8" s="87" t="s">
        <v>436</v>
      </c>
    </row>
    <row r="9" spans="1:1" ht="14.5" x14ac:dyDescent="0.3">
      <c r="A9" s="87" t="s">
        <v>437</v>
      </c>
    </row>
    <row r="10" spans="1:1" ht="14.5" x14ac:dyDescent="0.3">
      <c r="A10" s="87" t="s">
        <v>174</v>
      </c>
    </row>
    <row r="11" spans="1:1" ht="14.5" x14ac:dyDescent="0.3">
      <c r="A11" s="87" t="s">
        <v>175</v>
      </c>
    </row>
    <row r="12" spans="1:1" ht="14.5" x14ac:dyDescent="0.3">
      <c r="A12" s="87" t="s">
        <v>438</v>
      </c>
    </row>
    <row r="13" spans="1:1" ht="14.5" x14ac:dyDescent="0.3">
      <c r="A13" s="87" t="s">
        <v>177</v>
      </c>
    </row>
    <row r="14" spans="1:1" ht="14.5" x14ac:dyDescent="0.3">
      <c r="A14" s="87" t="s">
        <v>179</v>
      </c>
    </row>
    <row r="15" spans="1:1" ht="14.5" x14ac:dyDescent="0.3">
      <c r="A15" s="87" t="s">
        <v>439</v>
      </c>
    </row>
    <row r="16" spans="1:1" ht="14.5" x14ac:dyDescent="0.3">
      <c r="A16" s="87" t="s">
        <v>440</v>
      </c>
    </row>
    <row r="17" spans="1:1" ht="14.5" x14ac:dyDescent="0.3">
      <c r="A17" s="88" t="s">
        <v>441</v>
      </c>
    </row>
    <row r="18" spans="1:1" ht="14.5" x14ac:dyDescent="0.3">
      <c r="A18" s="87" t="s">
        <v>442</v>
      </c>
    </row>
    <row r="19" spans="1:1" ht="14.5" x14ac:dyDescent="0.3">
      <c r="A19" s="87" t="s">
        <v>443</v>
      </c>
    </row>
    <row r="20" spans="1:1" ht="29" x14ac:dyDescent="0.3">
      <c r="A20" s="87" t="s">
        <v>444</v>
      </c>
    </row>
    <row r="21" spans="1:1" ht="14.5" x14ac:dyDescent="0.3">
      <c r="A21" s="87" t="s">
        <v>445</v>
      </c>
    </row>
    <row r="22" spans="1:1" ht="15" thickBot="1" x14ac:dyDescent="0.35">
      <c r="A22" s="89" t="s">
        <v>446</v>
      </c>
    </row>
  </sheetData>
  <pageMargins left="0.7" right="0.7" top="0.75" bottom="0.75" header="0.3" footer="0.3"/>
  <pageSetup paperSize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81CBF492004B49B4498460E53F6EEB" ma:contentTypeVersion="19" ma:contentTypeDescription="Create a new document." ma:contentTypeScope="" ma:versionID="59d4bf44d11c7433c18011541d3ab1d5">
  <xsd:schema xmlns:xsd="http://www.w3.org/2001/XMLSchema" xmlns:xs="http://www.w3.org/2001/XMLSchema" xmlns:p="http://schemas.microsoft.com/office/2006/metadata/properties" xmlns:ns2="2a2bdbcb-2369-41bb-8447-3a4b1ea03956" xmlns:ns3="e1c116ca-0886-4bd7-ace6-5a330141a253" xmlns:ns4="fc7a3a96-1994-4234-a628-0adf8ab2a685" targetNamespace="http://schemas.microsoft.com/office/2006/metadata/properties" ma:root="true" ma:fieldsID="ac96807a052a50857fa59d8c7bfc841a" ns2:_="" ns3:_="" ns4:_="">
    <xsd:import namespace="2a2bdbcb-2369-41bb-8447-3a4b1ea03956"/>
    <xsd:import namespace="e1c116ca-0886-4bd7-ace6-5a330141a253"/>
    <xsd:import namespace="fc7a3a96-1994-4234-a628-0adf8ab2a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bdbcb-2369-41bb-8447-3a4b1ea03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96e9a7-f412-4ff8-89ff-8e3dcd6cf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116ca-0886-4bd7-ace6-5a330141a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3a96-1994-4234-a628-0adf8ab2a68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33e9cfb-7e1d-401d-bceb-2fc05ab7721e}" ma:internalName="TaxCatchAll" ma:showField="CatchAllData" ma:web="e1c116ca-0886-4bd7-ace6-5a330141a2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bdbcb-2369-41bb-8447-3a4b1ea03956">
      <Terms xmlns="http://schemas.microsoft.com/office/infopath/2007/PartnerControls"/>
    </lcf76f155ced4ddcb4097134ff3c332f>
    <TaxCatchAll xmlns="fc7a3a96-1994-4234-a628-0adf8ab2a685" xsi:nil="true"/>
  </documentManagement>
</p:properties>
</file>

<file path=customXml/itemProps1.xml><?xml version="1.0" encoding="utf-8"?>
<ds:datastoreItem xmlns:ds="http://schemas.openxmlformats.org/officeDocument/2006/customXml" ds:itemID="{5ED2E230-8ABE-4F5A-83F7-82D2360663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82CBAA-1C0D-45B0-BEE5-AE94DC60BE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2bdbcb-2369-41bb-8447-3a4b1ea03956"/>
    <ds:schemaRef ds:uri="e1c116ca-0886-4bd7-ace6-5a330141a253"/>
    <ds:schemaRef ds:uri="fc7a3a96-1994-4234-a628-0adf8ab2a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8AD818-249F-46C0-8239-F80A31228C4C}">
  <ds:schemaRefs>
    <ds:schemaRef ds:uri="http://schemas.microsoft.com/office/2006/metadata/properties"/>
    <ds:schemaRef ds:uri="http://schemas.microsoft.com/office/infopath/2007/PartnerControls"/>
    <ds:schemaRef ds:uri="2a2bdbcb-2369-41bb-8447-3a4b1ea03956"/>
    <ds:schemaRef ds:uri="fc7a3a96-1994-4234-a628-0adf8ab2a6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System View</vt:lpstr>
      <vt:lpstr>CFD</vt:lpstr>
      <vt:lpstr>EFD</vt:lpstr>
      <vt:lpstr>WFD</vt:lpstr>
      <vt:lpstr>MSD 1</vt:lpstr>
      <vt:lpstr>MSD 2</vt:lpstr>
      <vt:lpstr>Data Key and Legend</vt:lpstr>
      <vt:lpstr>Sheet1</vt:lpstr>
      <vt:lpstr>CFD!Print_Area</vt:lpstr>
      <vt:lpstr>EFD!Print_Area</vt:lpstr>
      <vt:lpstr>'MSD 1'!Print_Area</vt:lpstr>
      <vt:lpstr>'MSD 2'!Print_Area</vt:lpstr>
      <vt:lpstr>'System View'!Print_Area</vt:lpstr>
      <vt:lpstr>WFD!Print_Area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Kramer, Melissa</dc:creator>
  <cp:keywords/>
  <dc:description/>
  <cp:lastModifiedBy>Bang, Prajwal Parmeshwar</cp:lastModifiedBy>
  <cp:revision/>
  <dcterms:created xsi:type="dcterms:W3CDTF">2025-08-22T20:02:21Z</dcterms:created>
  <dcterms:modified xsi:type="dcterms:W3CDTF">2026-08-14T18:48:51Z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0x0101007F81CBF492004B49B4498460E53F6EEB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